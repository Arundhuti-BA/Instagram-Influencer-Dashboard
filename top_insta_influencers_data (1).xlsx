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_insta_influencers_data.csv" sheetId="1" r:id="rId4"/>
  </sheets>
  <definedNames/>
  <calcPr/>
</workbook>
</file>

<file path=xl/sharedStrings.xml><?xml version="1.0" encoding="utf-8"?>
<sst xmlns="http://schemas.openxmlformats.org/spreadsheetml/2006/main" count="1401" uniqueCount="893">
  <si>
    <t>rank</t>
  </si>
  <si>
    <t>channel_info</t>
  </si>
  <si>
    <t>influence_score</t>
  </si>
  <si>
    <t>posts</t>
  </si>
  <si>
    <t>posts_num</t>
  </si>
  <si>
    <t>followers</t>
  </si>
  <si>
    <t>followers_num</t>
  </si>
  <si>
    <t>avg_likes</t>
  </si>
  <si>
    <t>avg_likes_num</t>
  </si>
  <si>
    <t>60_day_eng_rate</t>
  </si>
  <si>
    <t>new_post_avg_like</t>
  </si>
  <si>
    <t>new_post_avg_like_num</t>
  </si>
  <si>
    <t>total_likes</t>
  </si>
  <si>
    <t>total_likes_num</t>
  </si>
  <si>
    <t>country_fixed</t>
  </si>
  <si>
    <t>cristiano</t>
  </si>
  <si>
    <t>3.3k</t>
  </si>
  <si>
    <t>85.9m</t>
  </si>
  <si>
    <t>8.7m</t>
  </si>
  <si>
    <t>6.5m</t>
  </si>
  <si>
    <t>29.0b</t>
  </si>
  <si>
    <t>Spain</t>
  </si>
  <si>
    <t>kyliejenner</t>
  </si>
  <si>
    <t>6.9k</t>
  </si>
  <si>
    <t>85.6m</t>
  </si>
  <si>
    <t>8.3m</t>
  </si>
  <si>
    <t>5.9m</t>
  </si>
  <si>
    <t>57.4b</t>
  </si>
  <si>
    <t>United States</t>
  </si>
  <si>
    <t>leomessi</t>
  </si>
  <si>
    <t>0.89k</t>
  </si>
  <si>
    <t>82.3m</t>
  </si>
  <si>
    <t>6.8m</t>
  </si>
  <si>
    <t>4.4m</t>
  </si>
  <si>
    <t>6.0b</t>
  </si>
  <si>
    <t>selenagomez</t>
  </si>
  <si>
    <t>1.8k</t>
  </si>
  <si>
    <t>81.3m</t>
  </si>
  <si>
    <t>6.2m</t>
  </si>
  <si>
    <t>3.3m</t>
  </si>
  <si>
    <t>11.5b</t>
  </si>
  <si>
    <t>therock</t>
  </si>
  <si>
    <t>6.8k</t>
  </si>
  <si>
    <t>81.1m</t>
  </si>
  <si>
    <t>1.9m</t>
  </si>
  <si>
    <t>665.3k</t>
  </si>
  <si>
    <t>12.5b</t>
  </si>
  <si>
    <t>kimkardashian</t>
  </si>
  <si>
    <t>5.6k</t>
  </si>
  <si>
    <t>80.9m</t>
  </si>
  <si>
    <t>3.5m</t>
  </si>
  <si>
    <t>2.9m</t>
  </si>
  <si>
    <t>19.9b</t>
  </si>
  <si>
    <t>arianagrande</t>
  </si>
  <si>
    <t>5.0k</t>
  </si>
  <si>
    <t>76.1m</t>
  </si>
  <si>
    <t>3.7m</t>
  </si>
  <si>
    <t>3.9m</t>
  </si>
  <si>
    <t>18.4b</t>
  </si>
  <si>
    <t>beyonce</t>
  </si>
  <si>
    <t>2.0k</t>
  </si>
  <si>
    <t>75.3m</t>
  </si>
  <si>
    <t>3.6m</t>
  </si>
  <si>
    <t>2.0m</t>
  </si>
  <si>
    <t>7.4b</t>
  </si>
  <si>
    <t>khloekardashian</t>
  </si>
  <si>
    <t>4.1k</t>
  </si>
  <si>
    <t>2.4m</t>
  </si>
  <si>
    <t>926.9k</t>
  </si>
  <si>
    <t>9.8b</t>
  </si>
  <si>
    <t>justinbieber</t>
  </si>
  <si>
    <t>7.4k</t>
  </si>
  <si>
    <t>74.9m</t>
  </si>
  <si>
    <t>1.5m</t>
  </si>
  <si>
    <t>13.9b</t>
  </si>
  <si>
    <t>Canada</t>
  </si>
  <si>
    <t>kendalljenner</t>
  </si>
  <si>
    <t>0.66k</t>
  </si>
  <si>
    <t>73.9m</t>
  </si>
  <si>
    <t>5.5m</t>
  </si>
  <si>
    <t>5.1m</t>
  </si>
  <si>
    <t>3.7b</t>
  </si>
  <si>
    <t>natgeo</t>
  </si>
  <si>
    <t>10.0k</t>
  </si>
  <si>
    <t>73.2m</t>
  </si>
  <si>
    <t>302.2k</t>
  </si>
  <si>
    <t>159.3k</t>
  </si>
  <si>
    <t>3.0b</t>
  </si>
  <si>
    <t>nike</t>
  </si>
  <si>
    <t>0.95k</t>
  </si>
  <si>
    <t>72.7m</t>
  </si>
  <si>
    <t>329.0k</t>
  </si>
  <si>
    <t>181.8k</t>
  </si>
  <si>
    <t>313.6m</t>
  </si>
  <si>
    <t>taylorswift</t>
  </si>
  <si>
    <t>0.53k</t>
  </si>
  <si>
    <t>70.4m</t>
  </si>
  <si>
    <t>2.3m</t>
  </si>
  <si>
    <t>1.3b</t>
  </si>
  <si>
    <t>jlo</t>
  </si>
  <si>
    <t>3.2k</t>
  </si>
  <si>
    <t>70.1m</t>
  </si>
  <si>
    <t>1.7m</t>
  </si>
  <si>
    <t>1.4m</t>
  </si>
  <si>
    <t>5.3b</t>
  </si>
  <si>
    <t>virat.kohli</t>
  </si>
  <si>
    <t>1.4k</t>
  </si>
  <si>
    <t>69.9m</t>
  </si>
  <si>
    <t>4.9b</t>
  </si>
  <si>
    <t>nickiminaj</t>
  </si>
  <si>
    <t>6.4k</t>
  </si>
  <si>
    <t>68.9m</t>
  </si>
  <si>
    <t>2.1m</t>
  </si>
  <si>
    <t>1.0m</t>
  </si>
  <si>
    <t>13.5b</t>
  </si>
  <si>
    <t>kourtneykardash</t>
  </si>
  <si>
    <t>4.4k</t>
  </si>
  <si>
    <t>1.8m</t>
  </si>
  <si>
    <t>1.3m</t>
  </si>
  <si>
    <t>7.7b</t>
  </si>
  <si>
    <t>mileycyrus</t>
  </si>
  <si>
    <t>1.2k</t>
  </si>
  <si>
    <t>68.7m</t>
  </si>
  <si>
    <t>913.6k</t>
  </si>
  <si>
    <t>1.6b</t>
  </si>
  <si>
    <t>neymarjr</t>
  </si>
  <si>
    <t>5.3k</t>
  </si>
  <si>
    <t>68.4m</t>
  </si>
  <si>
    <t>2.7m</t>
  </si>
  <si>
    <t>14.1b</t>
  </si>
  <si>
    <t>Brazil</t>
  </si>
  <si>
    <t>katyperry</t>
  </si>
  <si>
    <t>67.7m</t>
  </si>
  <si>
    <t>715.0k</t>
  </si>
  <si>
    <t>265.1k</t>
  </si>
  <si>
    <t>1.5b</t>
  </si>
  <si>
    <t>kevinhart4real</t>
  </si>
  <si>
    <t>8.2k</t>
  </si>
  <si>
    <t>522.0k</t>
  </si>
  <si>
    <t>115.2k</t>
  </si>
  <si>
    <t>4.3b</t>
  </si>
  <si>
    <t>zendaya</t>
  </si>
  <si>
    <t>3.5k</t>
  </si>
  <si>
    <t>67.3m</t>
  </si>
  <si>
    <t>5.8m</t>
  </si>
  <si>
    <t>4.8m</t>
  </si>
  <si>
    <t>20.6b</t>
  </si>
  <si>
    <t>iamcardib</t>
  </si>
  <si>
    <t>1.6k</t>
  </si>
  <si>
    <t>66.9m</t>
  </si>
  <si>
    <t>3.1m</t>
  </si>
  <si>
    <t>5.0b</t>
  </si>
  <si>
    <t>ddlovato</t>
  </si>
  <si>
    <t>0.08k</t>
  </si>
  <si>
    <t>66.3m</t>
  </si>
  <si>
    <t>1.1m</t>
  </si>
  <si>
    <t>363.4k</t>
  </si>
  <si>
    <t>91.3m</t>
  </si>
  <si>
    <t>badgalriri</t>
  </si>
  <si>
    <t>4.8k</t>
  </si>
  <si>
    <t>66.2m</t>
  </si>
  <si>
    <t>17.9b</t>
  </si>
  <si>
    <t>kingjames</t>
  </si>
  <si>
    <t>2.3k</t>
  </si>
  <si>
    <t>65.9m</t>
  </si>
  <si>
    <t>1.2m</t>
  </si>
  <si>
    <t>theellenshow</t>
  </si>
  <si>
    <t>65.0m</t>
  </si>
  <si>
    <t>420.5k</t>
  </si>
  <si>
    <t>81.7k</t>
  </si>
  <si>
    <t>4.2b</t>
  </si>
  <si>
    <t>realmadrid</t>
  </si>
  <si>
    <t>63.9m</t>
  </si>
  <si>
    <t>996.2k</t>
  </si>
  <si>
    <t>588.3k</t>
  </si>
  <si>
    <t>6.8b</t>
  </si>
  <si>
    <t>champagnepapi</t>
  </si>
  <si>
    <t>5.2k</t>
  </si>
  <si>
    <t>63.5m</t>
  </si>
  <si>
    <t>9.0b</t>
  </si>
  <si>
    <t>Netherlands</t>
  </si>
  <si>
    <t>chrisbrownofficial</t>
  </si>
  <si>
    <t>7.3k</t>
  </si>
  <si>
    <t>63.1m</t>
  </si>
  <si>
    <t>463.2k</t>
  </si>
  <si>
    <t>255.9k</t>
  </si>
  <si>
    <t>3.4b</t>
  </si>
  <si>
    <t>fcbarcelona</t>
  </si>
  <si>
    <t>62.9m</t>
  </si>
  <si>
    <t>706.3k</t>
  </si>
  <si>
    <t>11.6b</t>
  </si>
  <si>
    <t>billieeilish</t>
  </si>
  <si>
    <t>0.69k</t>
  </si>
  <si>
    <t>62.8m</t>
  </si>
  <si>
    <t>8.5m</t>
  </si>
  <si>
    <t>5.2m</t>
  </si>
  <si>
    <t>5.9b</t>
  </si>
  <si>
    <t>dualipa</t>
  </si>
  <si>
    <t>1.3k</t>
  </si>
  <si>
    <t>2.6b</t>
  </si>
  <si>
    <t>United Kingdom</t>
  </si>
  <si>
    <t>gal_gadot</t>
  </si>
  <si>
    <t>1.7k</t>
  </si>
  <si>
    <t>62.7m</t>
  </si>
  <si>
    <t>586.5k</t>
  </si>
  <si>
    <t>2.3b</t>
  </si>
  <si>
    <t>vindiesel</t>
  </si>
  <si>
    <t>61.9m</t>
  </si>
  <si>
    <t>482.3k</t>
  </si>
  <si>
    <t>2.5b</t>
  </si>
  <si>
    <t>nasa</t>
  </si>
  <si>
    <t>3.6k</t>
  </si>
  <si>
    <t>61.8m</t>
  </si>
  <si>
    <t>priyankachopra</t>
  </si>
  <si>
    <t>59.6m</t>
  </si>
  <si>
    <t>1.6m</t>
  </si>
  <si>
    <t>802.9k</t>
  </si>
  <si>
    <t>5.6b</t>
  </si>
  <si>
    <t>lalalalisa_m</t>
  </si>
  <si>
    <t>0.87k</t>
  </si>
  <si>
    <t>59.5m</t>
  </si>
  <si>
    <t>7.2m</t>
  </si>
  <si>
    <t>5.1b</t>
  </si>
  <si>
    <t>Shakira</t>
  </si>
  <si>
    <t>58.7m</t>
  </si>
  <si>
    <t>975.1k</t>
  </si>
  <si>
    <t>304.7k</t>
  </si>
  <si>
    <t>1.9b</t>
  </si>
  <si>
    <t>snoopdogg</t>
  </si>
  <si>
    <t>58.1m</t>
  </si>
  <si>
    <t>203.7k</t>
  </si>
  <si>
    <t>125.8k</t>
  </si>
  <si>
    <t>2.0b</t>
  </si>
  <si>
    <t>gigihadid</t>
  </si>
  <si>
    <t>2.5m</t>
  </si>
  <si>
    <t>8.2b</t>
  </si>
  <si>
    <t>davidbeckham</t>
  </si>
  <si>
    <t>1.5k</t>
  </si>
  <si>
    <t>57.6m</t>
  </si>
  <si>
    <t>340.9k</t>
  </si>
  <si>
    <t>shraddhakapoor</t>
  </si>
  <si>
    <t>1.9k</t>
  </si>
  <si>
    <t>56.9m</t>
  </si>
  <si>
    <t>859.9k</t>
  </si>
  <si>
    <t>victoriassecret</t>
  </si>
  <si>
    <t>2.9k</t>
  </si>
  <si>
    <t>55.9m</t>
  </si>
  <si>
    <t>147.0k</t>
  </si>
  <si>
    <t>29.8k</t>
  </si>
  <si>
    <t>423.5m</t>
  </si>
  <si>
    <t>k.mbappe</t>
  </si>
  <si>
    <t>55.6m</t>
  </si>
  <si>
    <t>2.8b</t>
  </si>
  <si>
    <t>nehakakkar</t>
  </si>
  <si>
    <t>55.2m</t>
  </si>
  <si>
    <t>370.1k</t>
  </si>
  <si>
    <t>3.5b</t>
  </si>
  <si>
    <t>India</t>
  </si>
  <si>
    <t>nba</t>
  </si>
  <si>
    <t>12.9k</t>
  </si>
  <si>
    <t>55.1m</t>
  </si>
  <si>
    <t>370.8k</t>
  </si>
  <si>
    <t>196.9k</t>
  </si>
  <si>
    <t>4.8b</t>
  </si>
  <si>
    <t>shawnmendes</t>
  </si>
  <si>
    <t>2.5k</t>
  </si>
  <si>
    <t>54.6m</t>
  </si>
  <si>
    <t>8.8b</t>
  </si>
  <si>
    <t>jennierubyjane</t>
  </si>
  <si>
    <t>0.86k</t>
  </si>
  <si>
    <t>54.5m</t>
  </si>
  <si>
    <t>5.7m</t>
  </si>
  <si>
    <t>4.4b</t>
  </si>
  <si>
    <t>narendramodi</t>
  </si>
  <si>
    <t>0.54k</t>
  </si>
  <si>
    <t>aliaabhatt</t>
  </si>
  <si>
    <t>54.1m</t>
  </si>
  <si>
    <t>3.3b</t>
  </si>
  <si>
    <t>deepikapadukone</t>
  </si>
  <si>
    <t>0.26k</t>
  </si>
  <si>
    <t>53.9m</t>
  </si>
  <si>
    <t>419.0m</t>
  </si>
  <si>
    <t>tomholland2013</t>
  </si>
  <si>
    <t>53.5m</t>
  </si>
  <si>
    <t>5.4m</t>
  </si>
  <si>
    <t>7.3m</t>
  </si>
  <si>
    <t>6.6b</t>
  </si>
  <si>
    <t>ronaldinho</t>
  </si>
  <si>
    <t>53.4m</t>
  </si>
  <si>
    <t>872.9k</t>
  </si>
  <si>
    <t>325.7k</t>
  </si>
  <si>
    <t>emmawatson</t>
  </si>
  <si>
    <t>0.34k</t>
  </si>
  <si>
    <t>639.0m</t>
  </si>
  <si>
    <t>bts.bighitofficial</t>
  </si>
  <si>
    <t>53.2m</t>
  </si>
  <si>
    <t>4.1m</t>
  </si>
  <si>
    <t>Uruguay</t>
  </si>
  <si>
    <t>katrinakaif</t>
  </si>
  <si>
    <t>1.0k</t>
  </si>
  <si>
    <t>53.0m</t>
  </si>
  <si>
    <t>1.7b</t>
  </si>
  <si>
    <t>marvel</t>
  </si>
  <si>
    <t>7.0k</t>
  </si>
  <si>
    <t>52.8m</t>
  </si>
  <si>
    <t>332.3k</t>
  </si>
  <si>
    <t>339.0k</t>
  </si>
  <si>
    <t>Turkey</t>
  </si>
  <si>
    <t>justintimberlake</t>
  </si>
  <si>
    <t>0.78k</t>
  </si>
  <si>
    <t>600.4k</t>
  </si>
  <si>
    <t>189.4k</t>
  </si>
  <si>
    <t>470.7m</t>
  </si>
  <si>
    <t>camila_cabello</t>
  </si>
  <si>
    <t>52.5m</t>
  </si>
  <si>
    <t>5.4b</t>
  </si>
  <si>
    <t>willsmith</t>
  </si>
  <si>
    <t>52.4m</t>
  </si>
  <si>
    <t>raffinagita1717</t>
  </si>
  <si>
    <t>17.5k</t>
  </si>
  <si>
    <t>51.2m</t>
  </si>
  <si>
    <t>386.9k</t>
  </si>
  <si>
    <t>366.6k</t>
  </si>
  <si>
    <t>Indonesia</t>
  </si>
  <si>
    <t>anitta</t>
  </si>
  <si>
    <t>5.1k</t>
  </si>
  <si>
    <t>50.8m</t>
  </si>
  <si>
    <t>855.5k</t>
  </si>
  <si>
    <t>426.2k</t>
  </si>
  <si>
    <t>sooyaaa__</t>
  </si>
  <si>
    <t>0.83k</t>
  </si>
  <si>
    <t>50.7m</t>
  </si>
  <si>
    <t>4.5m</t>
  </si>
  <si>
    <t>3.8b</t>
  </si>
  <si>
    <t>maluma</t>
  </si>
  <si>
    <t>696.3k</t>
  </si>
  <si>
    <t>Colombia</t>
  </si>
  <si>
    <t>akshaykumar</t>
  </si>
  <si>
    <t>50.2m</t>
  </si>
  <si>
    <t>624.9k</t>
  </si>
  <si>
    <t>2.9b</t>
  </si>
  <si>
    <t>jacquelinef143</t>
  </si>
  <si>
    <t>2.4k</t>
  </si>
  <si>
    <t>49.9m</t>
  </si>
  <si>
    <t>718.8k</t>
  </si>
  <si>
    <t>psg</t>
  </si>
  <si>
    <t>49.7m</t>
  </si>
  <si>
    <t>500.5k</t>
  </si>
  <si>
    <t>322.2k</t>
  </si>
  <si>
    <t>France</t>
  </si>
  <si>
    <t>roses_are_rosie</t>
  </si>
  <si>
    <t>0.82k</t>
  </si>
  <si>
    <t>49.3m</t>
  </si>
  <si>
    <t>4.6m</t>
  </si>
  <si>
    <t>6.0m</t>
  </si>
  <si>
    <t>manchesterunited</t>
  </si>
  <si>
    <t>9.9k</t>
  </si>
  <si>
    <t>49.2m</t>
  </si>
  <si>
    <t>381.8k</t>
  </si>
  <si>
    <t>241.6k</t>
  </si>
  <si>
    <t>anushkasharma</t>
  </si>
  <si>
    <t>49.1m</t>
  </si>
  <si>
    <t>2.2b</t>
  </si>
  <si>
    <t>whinderssonnunes</t>
  </si>
  <si>
    <t>2.7k</t>
  </si>
  <si>
    <t>49.0m</t>
  </si>
  <si>
    <t>323.1k</t>
  </si>
  <si>
    <t>9gag</t>
  </si>
  <si>
    <t>48.9m</t>
  </si>
  <si>
    <t>672.6k</t>
  </si>
  <si>
    <t>248.6k</t>
  </si>
  <si>
    <t>6.7b</t>
  </si>
  <si>
    <t>marcelotwelve</t>
  </si>
  <si>
    <t>48.7m</t>
  </si>
  <si>
    <t>690.9k</t>
  </si>
  <si>
    <t>448.3k</t>
  </si>
  <si>
    <t>milliebobbybrown</t>
  </si>
  <si>
    <t>0.28k</t>
  </si>
  <si>
    <t>48.3m</t>
  </si>
  <si>
    <t>4.0m</t>
  </si>
  <si>
    <t>5.0m</t>
  </si>
  <si>
    <t>1.1b</t>
  </si>
  <si>
    <t>karimbenzema</t>
  </si>
  <si>
    <t>48.2m</t>
  </si>
  <si>
    <t>878.5k</t>
  </si>
  <si>
    <t>918.9k</t>
  </si>
  <si>
    <t>1.8b</t>
  </si>
  <si>
    <t>chrishemsworth</t>
  </si>
  <si>
    <t>0.88k</t>
  </si>
  <si>
    <t>2.8m</t>
  </si>
  <si>
    <t>Australia</t>
  </si>
  <si>
    <t>karolg</t>
  </si>
  <si>
    <t>48.1m</t>
  </si>
  <si>
    <t>10.1b</t>
  </si>
  <si>
    <t>paulpogba</t>
  </si>
  <si>
    <t>475.8m</t>
  </si>
  <si>
    <t>462.6k</t>
  </si>
  <si>
    <t>iamzlatanibrahimovic</t>
  </si>
  <si>
    <t>47.7m</t>
  </si>
  <si>
    <t>837.1k</t>
  </si>
  <si>
    <t>leonardodicaprio</t>
  </si>
  <si>
    <t>47.3m</t>
  </si>
  <si>
    <t>395.5k</t>
  </si>
  <si>
    <t>107.6k</t>
  </si>
  <si>
    <t>669.3m</t>
  </si>
  <si>
    <t>juventus</t>
  </si>
  <si>
    <t>46.9m</t>
  </si>
  <si>
    <t>194.8k</t>
  </si>
  <si>
    <t>135.5k</t>
  </si>
  <si>
    <t>zacefron</t>
  </si>
  <si>
    <t>bellahadid</t>
  </si>
  <si>
    <t>46.8m</t>
  </si>
  <si>
    <t>3.6b</t>
  </si>
  <si>
    <t>tatawerneck</t>
  </si>
  <si>
    <t>46.5m</t>
  </si>
  <si>
    <t>959.8k</t>
  </si>
  <si>
    <t>266.5k</t>
  </si>
  <si>
    <t>beingsalmankhan</t>
  </si>
  <si>
    <t>693.9k</t>
  </si>
  <si>
    <t>robertdowneyjr</t>
  </si>
  <si>
    <t>0.42k</t>
  </si>
  <si>
    <t>3.0m</t>
  </si>
  <si>
    <t>sunnyleone</t>
  </si>
  <si>
    <t>4.6k</t>
  </si>
  <si>
    <t>46.2m</t>
  </si>
  <si>
    <t>764.0k</t>
  </si>
  <si>
    <t>301.3k</t>
  </si>
  <si>
    <t>ladygaga</t>
  </si>
  <si>
    <t>45.9m</t>
  </si>
  <si>
    <t>531.6k</t>
  </si>
  <si>
    <t>dishapatani</t>
  </si>
  <si>
    <t>2.1k</t>
  </si>
  <si>
    <t>971.7k</t>
  </si>
  <si>
    <t>sergioramos</t>
  </si>
  <si>
    <t>2.2k</t>
  </si>
  <si>
    <t>45.8m</t>
  </si>
  <si>
    <t>557.9k</t>
  </si>
  <si>
    <t>jbalvin</t>
  </si>
  <si>
    <t>45.4m</t>
  </si>
  <si>
    <t>878.0k</t>
  </si>
  <si>
    <t>340.5k</t>
  </si>
  <si>
    <t>mosalah</t>
  </si>
  <si>
    <t>0.84k</t>
  </si>
  <si>
    <t>ayutingting92</t>
  </si>
  <si>
    <t>44.8m</t>
  </si>
  <si>
    <t>147.3k</t>
  </si>
  <si>
    <t>56.3k</t>
  </si>
  <si>
    <t>433</t>
  </si>
  <si>
    <t>10.3k</t>
  </si>
  <si>
    <t>44.5m</t>
  </si>
  <si>
    <t>863.2k</t>
  </si>
  <si>
    <t>774.2k</t>
  </si>
  <si>
    <t>8.9b</t>
  </si>
  <si>
    <t>hudabeauty</t>
  </si>
  <si>
    <t>44.2m</t>
  </si>
  <si>
    <t>186.4k</t>
  </si>
  <si>
    <t>16.8k</t>
  </si>
  <si>
    <t>453.6m</t>
  </si>
  <si>
    <t>adele</t>
  </si>
  <si>
    <t>43.9m</t>
  </si>
  <si>
    <t>4.7m</t>
  </si>
  <si>
    <t>michelleobama</t>
  </si>
  <si>
    <t>0.60k</t>
  </si>
  <si>
    <t>43.8m</t>
  </si>
  <si>
    <t>700.5k</t>
  </si>
  <si>
    <t>611.2k</t>
  </si>
  <si>
    <t>421.7m</t>
  </si>
  <si>
    <t>kritisanon</t>
  </si>
  <si>
    <t>897.2k</t>
  </si>
  <si>
    <t>604.4k</t>
  </si>
  <si>
    <t>2.4b</t>
  </si>
  <si>
    <t>jamesrodriguez10</t>
  </si>
  <si>
    <t>1.1k</t>
  </si>
  <si>
    <t>43.7m</t>
  </si>
  <si>
    <t>363.9k</t>
  </si>
  <si>
    <t>krisjenner</t>
  </si>
  <si>
    <t>43.4m</t>
  </si>
  <si>
    <t>356.8k</t>
  </si>
  <si>
    <t>452.9k</t>
  </si>
  <si>
    <t>thv</t>
  </si>
  <si>
    <t>0.06k</t>
  </si>
  <si>
    <t>43.2m</t>
  </si>
  <si>
    <t>15.4m</t>
  </si>
  <si>
    <t>12.6m</t>
  </si>
  <si>
    <t>987.4m</t>
  </si>
  <si>
    <t>lelepons</t>
  </si>
  <si>
    <t>43.1m</t>
  </si>
  <si>
    <t>6.1b</t>
  </si>
  <si>
    <t>charlidamelio</t>
  </si>
  <si>
    <t>0.15k</t>
  </si>
  <si>
    <t>42.9m</t>
  </si>
  <si>
    <t>4.2m</t>
  </si>
  <si>
    <t>654.4m</t>
  </si>
  <si>
    <t>gucci</t>
  </si>
  <si>
    <t>8.9k</t>
  </si>
  <si>
    <t>42.2m</t>
  </si>
  <si>
    <t>115.1k</t>
  </si>
  <si>
    <t>72.4k</t>
  </si>
  <si>
    <t>1.0b</t>
  </si>
  <si>
    <t>Italy</t>
  </si>
  <si>
    <t>prillylatuconsina96</t>
  </si>
  <si>
    <t>6.5k</t>
  </si>
  <si>
    <t>42.1m</t>
  </si>
  <si>
    <t>372.4k</t>
  </si>
  <si>
    <t>131.8k</t>
  </si>
  <si>
    <t>louisvuitton</t>
  </si>
  <si>
    <t>127.5k</t>
  </si>
  <si>
    <t>40.5k</t>
  </si>
  <si>
    <t>824.0m</t>
  </si>
  <si>
    <t>paulodybala</t>
  </si>
  <si>
    <t>41.9m</t>
  </si>
  <si>
    <t>blackpinkofficial</t>
  </si>
  <si>
    <t>41.8m</t>
  </si>
  <si>
    <t>dovecameron</t>
  </si>
  <si>
    <t>0.17k</t>
  </si>
  <si>
    <t>41.6m</t>
  </si>
  <si>
    <t>841.4k</t>
  </si>
  <si>
    <t>283.0m</t>
  </si>
  <si>
    <t>garethbale11</t>
  </si>
  <si>
    <t>0.98k</t>
  </si>
  <si>
    <t>41.5m</t>
  </si>
  <si>
    <t>763.0k</t>
  </si>
  <si>
    <t>681.3k</t>
  </si>
  <si>
    <t>753.1m</t>
  </si>
  <si>
    <t>jokowi</t>
  </si>
  <si>
    <t>452.6k</t>
  </si>
  <si>
    <t>189.6k</t>
  </si>
  <si>
    <t>nusr_et</t>
  </si>
  <si>
    <t>40.8m</t>
  </si>
  <si>
    <t>728.2k</t>
  </si>
  <si>
    <t>133.0k</t>
  </si>
  <si>
    <t>United Arab Emirates</t>
  </si>
  <si>
    <t>harrystyles</t>
  </si>
  <si>
    <t>0.59k</t>
  </si>
  <si>
    <t>40.7m</t>
  </si>
  <si>
    <t>haileybieber</t>
  </si>
  <si>
    <t>vanessahudgens</t>
  </si>
  <si>
    <t>4.2k</t>
  </si>
  <si>
    <t>40.1m</t>
  </si>
  <si>
    <t>633.9k</t>
  </si>
  <si>
    <t>292.9k</t>
  </si>
  <si>
    <t>2.7b</t>
  </si>
  <si>
    <t>5-Minute Crafts GIRLY</t>
  </si>
  <si>
    <t>40.0m</t>
  </si>
  <si>
    <t>157.0k</t>
  </si>
  <si>
    <t>12.4k</t>
  </si>
  <si>
    <t>zayn</t>
  </si>
  <si>
    <t>0.16k</t>
  </si>
  <si>
    <t>773.5m</t>
  </si>
  <si>
    <t>larissamanoela</t>
  </si>
  <si>
    <t>39.9m</t>
  </si>
  <si>
    <t>579.6k</t>
  </si>
  <si>
    <t>259.4k</t>
  </si>
  <si>
    <t>travisscott</t>
  </si>
  <si>
    <t>2.6m</t>
  </si>
  <si>
    <t>9.6b</t>
  </si>
  <si>
    <t>thenotoriousmma</t>
  </si>
  <si>
    <t>39.2m</t>
  </si>
  <si>
    <t>311.5k</t>
  </si>
  <si>
    <t>daddyyankee</t>
  </si>
  <si>
    <t>0.02k</t>
  </si>
  <si>
    <t>652.5k</t>
  </si>
  <si>
    <t>455.3k</t>
  </si>
  <si>
    <t>18.3m</t>
  </si>
  <si>
    <t>Puerto Rico</t>
  </si>
  <si>
    <t>natgeotravel</t>
  </si>
  <si>
    <t>16.9k</t>
  </si>
  <si>
    <t>39.1m</t>
  </si>
  <si>
    <t>189.9k</t>
  </si>
  <si>
    <t>52.8k</t>
  </si>
  <si>
    <t>3.2b</t>
  </si>
  <si>
    <t>nikefootball</t>
  </si>
  <si>
    <t>431.2k</t>
  </si>
  <si>
    <t>199.8k</t>
  </si>
  <si>
    <t>784.0m</t>
  </si>
  <si>
    <t>stephencurry30</t>
  </si>
  <si>
    <t>39.0m</t>
  </si>
  <si>
    <t>1.2b</t>
  </si>
  <si>
    <t>vancityreynolds</t>
  </si>
  <si>
    <t>0.68k</t>
  </si>
  <si>
    <t>38.9m</t>
  </si>
  <si>
    <t>925.7m</t>
  </si>
  <si>
    <t>maisa</t>
  </si>
  <si>
    <t>38.8m</t>
  </si>
  <si>
    <t>553.0k</t>
  </si>
  <si>
    <t>294.1k</t>
  </si>
  <si>
    <t>820.1m</t>
  </si>
  <si>
    <t>luissuarez9</t>
  </si>
  <si>
    <t>0.97k</t>
  </si>
  <si>
    <t>38.7m</t>
  </si>
  <si>
    <t>801.8k</t>
  </si>
  <si>
    <t>414.8k</t>
  </si>
  <si>
    <t>782.5m</t>
  </si>
  <si>
    <t>gusttavolima</t>
  </si>
  <si>
    <t>4.9k</t>
  </si>
  <si>
    <t>38.5m</t>
  </si>
  <si>
    <t>475.1k</t>
  </si>
  <si>
    <t>303.9k</t>
  </si>
  <si>
    <t>jannatzubair29</t>
  </si>
  <si>
    <t>38.3m</t>
  </si>
  <si>
    <t>944.3k</t>
  </si>
  <si>
    <t>varundvn</t>
  </si>
  <si>
    <t>640.5k</t>
  </si>
  <si>
    <t>hrithikroshan</t>
  </si>
  <si>
    <t>0.58k</t>
  </si>
  <si>
    <t>38.1m</t>
  </si>
  <si>
    <t>949.9m</t>
  </si>
  <si>
    <t>Côte d'Ivoire</t>
  </si>
  <si>
    <t>nickyjampr</t>
  </si>
  <si>
    <t>37.4m</t>
  </si>
  <si>
    <t>381.6k</t>
  </si>
  <si>
    <t>139.3k</t>
  </si>
  <si>
    <t>buzzfeedtasty</t>
  </si>
  <si>
    <t>65.1k</t>
  </si>
  <si>
    <t>7.7k</t>
  </si>
  <si>
    <t>580.7m</t>
  </si>
  <si>
    <t>brunamarquezine</t>
  </si>
  <si>
    <t>3.0k</t>
  </si>
  <si>
    <t>366.2m</t>
  </si>
  <si>
    <t>969.7k</t>
  </si>
  <si>
    <t>444.2k</t>
  </si>
  <si>
    <t>caradelevingne</t>
  </si>
  <si>
    <t>36.9m</t>
  </si>
  <si>
    <t>790.2k</t>
  </si>
  <si>
    <t>181.0k</t>
  </si>
  <si>
    <t>kapilsharma</t>
  </si>
  <si>
    <t>36.5m</t>
  </si>
  <si>
    <t>736.4k</t>
  </si>
  <si>
    <t>624.5k</t>
  </si>
  <si>
    <t>710.7m</t>
  </si>
  <si>
    <t>badbunnypr</t>
  </si>
  <si>
    <t>0.01k</t>
  </si>
  <si>
    <t>67.5m</t>
  </si>
  <si>
    <t>britneyspears</t>
  </si>
  <si>
    <t>36.4m</t>
  </si>
  <si>
    <t>513.1k</t>
  </si>
  <si>
    <t>221.7k</t>
  </si>
  <si>
    <t>j.m</t>
  </si>
  <si>
    <t>36.0m</t>
  </si>
  <si>
    <t>14.2m</t>
  </si>
  <si>
    <t>11.0m</t>
  </si>
  <si>
    <t>368.1m</t>
  </si>
  <si>
    <t>mariliamendoncacantora</t>
  </si>
  <si>
    <t>357.3m</t>
  </si>
  <si>
    <t>818.6k</t>
  </si>
  <si>
    <t>norafatehi</t>
  </si>
  <si>
    <t>35.9m</t>
  </si>
  <si>
    <t>727.5k</t>
  </si>
  <si>
    <t>Anguilla</t>
  </si>
  <si>
    <t>theweeknd</t>
  </si>
  <si>
    <t>0.67k</t>
  </si>
  <si>
    <t>767.0m</t>
  </si>
  <si>
    <t>dior</t>
  </si>
  <si>
    <t>9.7k</t>
  </si>
  <si>
    <t>35.6m</t>
  </si>
  <si>
    <t>88.8k</t>
  </si>
  <si>
    <t>63.6k</t>
  </si>
  <si>
    <t>863.0m</t>
  </si>
  <si>
    <t>ranveersingh</t>
  </si>
  <si>
    <t>299.3k</t>
  </si>
  <si>
    <t>Switzerland</t>
  </si>
  <si>
    <t>marinaruybarbosa</t>
  </si>
  <si>
    <t>35.5m</t>
  </si>
  <si>
    <t>586.4k</t>
  </si>
  <si>
    <t>jenniferaniston</t>
  </si>
  <si>
    <t>0.09k</t>
  </si>
  <si>
    <t>35.4m</t>
  </si>
  <si>
    <t>731.0k</t>
  </si>
  <si>
    <t>452.0m</t>
  </si>
  <si>
    <t>addisonraee</t>
  </si>
  <si>
    <t>0.30k</t>
  </si>
  <si>
    <t>35.3m</t>
  </si>
  <si>
    <t>994.4k</t>
  </si>
  <si>
    <t>957.9m</t>
  </si>
  <si>
    <t>andresiniesta8</t>
  </si>
  <si>
    <t>35.0m</t>
  </si>
  <si>
    <t>250.8k</t>
  </si>
  <si>
    <t>161.7k</t>
  </si>
  <si>
    <t>500.5m</t>
  </si>
  <si>
    <t>princessyahrini</t>
  </si>
  <si>
    <t>4.5k</t>
  </si>
  <si>
    <t>342.7m</t>
  </si>
  <si>
    <t>118.3k</t>
  </si>
  <si>
    <t>87.4k</t>
  </si>
  <si>
    <t>529.9m</t>
  </si>
  <si>
    <t>liverpoolfc</t>
  </si>
  <si>
    <t>34.8m</t>
  </si>
  <si>
    <t>346.7k</t>
  </si>
  <si>
    <t>162.9k</t>
  </si>
  <si>
    <t>teddysphotos</t>
  </si>
  <si>
    <t>715.5k</t>
  </si>
  <si>
    <t>181.1k</t>
  </si>
  <si>
    <t>worldstar</t>
  </si>
  <si>
    <t>11.6k</t>
  </si>
  <si>
    <t>34.7m</t>
  </si>
  <si>
    <t>157.4k</t>
  </si>
  <si>
    <t>84.4k</t>
  </si>
  <si>
    <t>natashawilona12</t>
  </si>
  <si>
    <t>486.5k</t>
  </si>
  <si>
    <t>227.7k</t>
  </si>
  <si>
    <t>563.9m</t>
  </si>
  <si>
    <t>mahi7781</t>
  </si>
  <si>
    <t>0.10k</t>
  </si>
  <si>
    <t>439.4m</t>
  </si>
  <si>
    <t>georginagio</t>
  </si>
  <si>
    <t>0.73k</t>
  </si>
  <si>
    <t>34.6m</t>
  </si>
  <si>
    <t>2.2m</t>
  </si>
  <si>
    <t>cznburak</t>
  </si>
  <si>
    <t>34.2m</t>
  </si>
  <si>
    <t>815.8k</t>
  </si>
  <si>
    <t>383.3k</t>
  </si>
  <si>
    <t>1.4b</t>
  </si>
  <si>
    <t>chrissyteigen</t>
  </si>
  <si>
    <t>623.1k</t>
  </si>
  <si>
    <t>162.1k</t>
  </si>
  <si>
    <t>ruben_onsu</t>
  </si>
  <si>
    <t>13.4k</t>
  </si>
  <si>
    <t>34.1m</t>
  </si>
  <si>
    <t>49.1k</t>
  </si>
  <si>
    <t>wizkhalifa</t>
  </si>
  <si>
    <t>0.50k</t>
  </si>
  <si>
    <t>334.1m</t>
  </si>
  <si>
    <t>398.7k</t>
  </si>
  <si>
    <t>115.7k</t>
  </si>
  <si>
    <t>199.8m</t>
  </si>
  <si>
    <t>hm</t>
  </si>
  <si>
    <t>33.7m</t>
  </si>
  <si>
    <t>88.4k</t>
  </si>
  <si>
    <t>22.4k</t>
  </si>
  <si>
    <t>644.1m</t>
  </si>
  <si>
    <t>Sweden</t>
  </si>
  <si>
    <t>anushkasen0408</t>
  </si>
  <si>
    <t>33.6m</t>
  </si>
  <si>
    <t>695.4k</t>
  </si>
  <si>
    <t>658.3k</t>
  </si>
  <si>
    <t>prattprattpratt</t>
  </si>
  <si>
    <t>33.5m</t>
  </si>
  <si>
    <t>813.5k</t>
  </si>
  <si>
    <t>363.8k</t>
  </si>
  <si>
    <t>594.7m</t>
  </si>
  <si>
    <t>marvelstudios</t>
  </si>
  <si>
    <t>594.2k</t>
  </si>
  <si>
    <t>555.9k</t>
  </si>
  <si>
    <t>wesleysafadao</t>
  </si>
  <si>
    <t>33.3m</t>
  </si>
  <si>
    <t>256.1k</t>
  </si>
  <si>
    <t>parineetichopra</t>
  </si>
  <si>
    <t>33.2m</t>
  </si>
  <si>
    <t>505.7k</t>
  </si>
  <si>
    <t>246.9k</t>
  </si>
  <si>
    <t>672.1m</t>
  </si>
  <si>
    <t>laudyacynthiabella</t>
  </si>
  <si>
    <t>0.38k</t>
  </si>
  <si>
    <t>172.8k</t>
  </si>
  <si>
    <t>43.4k</t>
  </si>
  <si>
    <t>66.7m</t>
  </si>
  <si>
    <t>antogriezmann</t>
  </si>
  <si>
    <t>203.6k</t>
  </si>
  <si>
    <t>955.4m</t>
  </si>
  <si>
    <t>gisel_la</t>
  </si>
  <si>
    <t>33.0m</t>
  </si>
  <si>
    <t>150.5k</t>
  </si>
  <si>
    <t>33.4k</t>
  </si>
  <si>
    <t>eminem</t>
  </si>
  <si>
    <t>329.2m</t>
  </si>
  <si>
    <t>962.7k</t>
  </si>
  <si>
    <t>730.1m</t>
  </si>
  <si>
    <t>mercedesbenz</t>
  </si>
  <si>
    <t>327.7m</t>
  </si>
  <si>
    <t>197.9k</t>
  </si>
  <si>
    <t>64.6k</t>
  </si>
  <si>
    <t>British Virgin Islands</t>
  </si>
  <si>
    <t>colesprouse</t>
  </si>
  <si>
    <t>32.8m</t>
  </si>
  <si>
    <t>834.5k</t>
  </si>
  <si>
    <t>nattinatasha</t>
  </si>
  <si>
    <t>0.03k</t>
  </si>
  <si>
    <t>272.8m</t>
  </si>
  <si>
    <t>518.1k</t>
  </si>
  <si>
    <t>285.9k</t>
  </si>
  <si>
    <t>18.7m</t>
  </si>
  <si>
    <t>Czech Republic</t>
  </si>
  <si>
    <t>shahidkapoor</t>
  </si>
  <si>
    <t>268.3m</t>
  </si>
  <si>
    <t>780.0k</t>
  </si>
  <si>
    <t>tigerjackieshroff</t>
  </si>
  <si>
    <t>254.5m</t>
  </si>
  <si>
    <t>422.9k</t>
  </si>
  <si>
    <t>kimberly.loaiza</t>
  </si>
  <si>
    <t>254.0m</t>
  </si>
  <si>
    <t>Mexico</t>
  </si>
  <si>
    <t>barackobama</t>
  </si>
  <si>
    <t>237.0m</t>
  </si>
  <si>
    <t>411.5k</t>
  </si>
  <si>
    <t>739.5m</t>
  </si>
  <si>
    <t>sachintendulkar</t>
  </si>
  <si>
    <t>234.1m</t>
  </si>
  <si>
    <t>800.4k</t>
  </si>
  <si>
    <t>664.5k</t>
  </si>
  <si>
    <t>810.0m</t>
  </si>
  <si>
    <t>simonemendes</t>
  </si>
  <si>
    <t>222.2m</t>
  </si>
  <si>
    <t>420.0k</t>
  </si>
  <si>
    <t>222.9k</t>
  </si>
  <si>
    <t>ivetesangalo</t>
  </si>
  <si>
    <t>7.6k</t>
  </si>
  <si>
    <t>220.4m</t>
  </si>
  <si>
    <t>226.4k</t>
  </si>
  <si>
    <t>121.1k</t>
  </si>
  <si>
    <t>lunamaya</t>
  </si>
  <si>
    <t>211.8m</t>
  </si>
  <si>
    <t>145.4k</t>
  </si>
  <si>
    <t>58.6k</t>
  </si>
  <si>
    <t>589.6m</t>
  </si>
  <si>
    <t>toni.kr8s</t>
  </si>
  <si>
    <t>0.94k</t>
  </si>
  <si>
    <t>201.6m</t>
  </si>
  <si>
    <t>597.2k</t>
  </si>
  <si>
    <t>533.5k</t>
  </si>
  <si>
    <t>561.3m</t>
  </si>
  <si>
    <t>dannapaola</t>
  </si>
  <si>
    <t>195.2m</t>
  </si>
  <si>
    <t>paollaoliveirareal</t>
  </si>
  <si>
    <t>181.5m</t>
  </si>
  <si>
    <t>367.8k</t>
  </si>
  <si>
    <t>192.3k</t>
  </si>
  <si>
    <t>blakelively</t>
  </si>
  <si>
    <t>0.11k</t>
  </si>
  <si>
    <t>177.1m</t>
  </si>
  <si>
    <t>350.9m</t>
  </si>
  <si>
    <t>adidasoriginals</t>
  </si>
  <si>
    <t>170.3m</t>
  </si>
  <si>
    <t>136.2k</t>
  </si>
  <si>
    <t>66.8k</t>
  </si>
  <si>
    <t>21.2m</t>
  </si>
  <si>
    <t>disney</t>
  </si>
  <si>
    <t>152.0m</t>
  </si>
  <si>
    <t>185.2k</t>
  </si>
  <si>
    <t>132.0k</t>
  </si>
  <si>
    <t>shaymitchell</t>
  </si>
  <si>
    <t>6.3k</t>
  </si>
  <si>
    <t>150.7m</t>
  </si>
  <si>
    <t>732.4k</t>
  </si>
  <si>
    <t>247.5k</t>
  </si>
  <si>
    <t>4.6b</t>
  </si>
  <si>
    <t>bmw</t>
  </si>
  <si>
    <t>9.3k</t>
  </si>
  <si>
    <t>140.5m</t>
  </si>
  <si>
    <t>231.3k</t>
  </si>
  <si>
    <t>76.5k</t>
  </si>
  <si>
    <t>Germany</t>
  </si>
  <si>
    <t>danbilzerian</t>
  </si>
  <si>
    <t>139.1m</t>
  </si>
  <si>
    <t>khabib_nurmagomedov</t>
  </si>
  <si>
    <t>135.3m</t>
  </si>
  <si>
    <t>685.1k</t>
  </si>
  <si>
    <t>220.7k</t>
  </si>
  <si>
    <t>3.1b</t>
  </si>
  <si>
    <t>Russia</t>
  </si>
  <si>
    <t>zidane</t>
  </si>
  <si>
    <t>0.37k</t>
  </si>
  <si>
    <t>130.9m</t>
  </si>
  <si>
    <t>532.7k</t>
  </si>
  <si>
    <t>391.9m</t>
  </si>
  <si>
    <t>sonamkapoor</t>
  </si>
  <si>
    <t>125.1m</t>
  </si>
  <si>
    <t>264.7k</t>
  </si>
  <si>
    <t>209.2k</t>
  </si>
  <si>
    <t>iambeckyg</t>
  </si>
  <si>
    <t>123.4m</t>
  </si>
  <si>
    <t>623.8k</t>
  </si>
  <si>
    <t>464.7k</t>
  </si>
  <si>
    <t>nancyajram</t>
  </si>
  <si>
    <t>3.8k</t>
  </si>
  <si>
    <t>119.6m</t>
  </si>
  <si>
    <t>390.4k</t>
  </si>
  <si>
    <t>208.0k</t>
  </si>
  <si>
    <t>luansantana</t>
  </si>
  <si>
    <t>0.77k</t>
  </si>
  <si>
    <t>118.5m</t>
  </si>
  <si>
    <t>193.3k</t>
  </si>
  <si>
    <t>82.6k</t>
  </si>
  <si>
    <t>149.2m</t>
  </si>
  <si>
    <t>nickjonas</t>
  </si>
  <si>
    <t>111.4m</t>
  </si>
  <si>
    <t>719.6k</t>
  </si>
  <si>
    <t>467.7k</t>
  </si>
  <si>
    <t>raisa6690</t>
  </si>
  <si>
    <t>105.2m</t>
  </si>
  <si>
    <t>232.2k</t>
  </si>
  <si>
    <t>97.4k</t>
  </si>
  <si>
    <t>969.1m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</si>
</sst>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0" max="10" width="14.0"/>
    <col customWidth="1" min="11" max="11" width="15.13"/>
    <col customWidth="1" min="12" max="12" width="19.38"/>
    <col customWidth="1" min="15" max="15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 t="s">
        <v>15</v>
      </c>
      <c r="C2" s="1">
        <v>92.0</v>
      </c>
      <c r="D2" s="3" t="s">
        <v>16</v>
      </c>
      <c r="E2" s="2">
        <f t="shared" ref="E2:E200" si="1">IF(RIGHT(D2,1)="k",LEFT(D2,LEN(D2)-1)*1000,IF(RIGHT(D2,1)="m",LEFT(D2,LEN(D2)-1)*1000000,LEFT(D2,LEN(D2)-1)*1000000000))</f>
        <v>3300</v>
      </c>
      <c r="F2" s="1" t="s">
        <v>17</v>
      </c>
      <c r="G2" s="1">
        <f t="shared" ref="G2:G200" si="2">IF(RIGHT(F2,1)="k",LEFT(F2,LEN(F2)-1)*1000,IF(RIGHT(F2,1)="m",LEFT(F2,LEN(F2)-1)*1000000,IF(RIGHT(F2,1)="b",LEFT(F2,LEN(F2)-1)*1000000000)))</f>
        <v>85900000</v>
      </c>
      <c r="H2" s="1" t="s">
        <v>18</v>
      </c>
      <c r="I2" s="1">
        <f t="shared" ref="I2:I200" si="3">IF(RIGHT(H2,1)="m",LEFT(H2,LEN(H2)-1)*1000000,IF(RIGHT(H2,1)="k",LEFT(H2,LEN(H2)-1)*1000,IF(RIGHT(H2,1)="b",LEFT(H2,LEN(H2)-1)*1000000000)))</f>
        <v>8700000</v>
      </c>
      <c r="J2" s="4">
        <v>0.0139</v>
      </c>
      <c r="K2" s="1" t="s">
        <v>19</v>
      </c>
      <c r="L2" s="1">
        <f t="shared" ref="L2:L200" si="4">IF(RIGHT(K2,1)="m",LEFT(K2,LEN(K2)-1)*1000000,IF(RIGHT(K2,1)="k",LEFT(K2,LEN(K2)-1)*1000,if(RIGHT(K2,1)="b",LEFT(K2,LEN(K2)-1)*1000000000,0)))</f>
        <v>6500000</v>
      </c>
      <c r="M2" s="1" t="s">
        <v>20</v>
      </c>
      <c r="N2" s="1">
        <f>IF(RIGHT(M2,1)="b",LEFT(M2,LEN(M2)-1)*1000000000,IF(RIGHT(M2,1)="k",LEFT(M2,LEN(M2)-1)*1000,IF(RIGHT(M2,1)="m",LEFT(M2,LEN(M2)-1)*1000000)))</f>
        <v>29000000000</v>
      </c>
      <c r="O2" s="1" t="s">
        <v>21</v>
      </c>
    </row>
    <row r="3">
      <c r="A3" s="1">
        <v>2.0</v>
      </c>
      <c r="B3" s="1" t="s">
        <v>22</v>
      </c>
      <c r="C3" s="1">
        <v>91.0</v>
      </c>
      <c r="D3" s="3" t="s">
        <v>23</v>
      </c>
      <c r="E3" s="2">
        <f t="shared" si="1"/>
        <v>6900</v>
      </c>
      <c r="F3" s="1" t="s">
        <v>24</v>
      </c>
      <c r="G3" s="1">
        <f t="shared" si="2"/>
        <v>85600000</v>
      </c>
      <c r="H3" s="1" t="s">
        <v>25</v>
      </c>
      <c r="I3" s="1">
        <f t="shared" si="3"/>
        <v>8300000</v>
      </c>
      <c r="J3" s="4">
        <v>0.0162</v>
      </c>
      <c r="K3" s="1" t="s">
        <v>26</v>
      </c>
      <c r="L3" s="1">
        <f t="shared" si="4"/>
        <v>5900000</v>
      </c>
      <c r="M3" s="1" t="s">
        <v>27</v>
      </c>
      <c r="N3" s="1">
        <f t="shared" ref="N3:N200" si="5">IF(RIGHT(M3,1)="b",LEFT(M3,LEN(M3)-1)*1000000000,IF(RIGHT(M3,1)="k",LEFT(M3,LEN(M3)-1)*1000,IF(RIGHT(M3,1)="m",LEFT(M3,LEN(M3)-1)*1000000,"0")))</f>
        <v>57400000000</v>
      </c>
      <c r="O3" s="1" t="s">
        <v>28</v>
      </c>
    </row>
    <row r="4">
      <c r="A4" s="1">
        <v>3.0</v>
      </c>
      <c r="B4" s="1" t="s">
        <v>29</v>
      </c>
      <c r="C4" s="1">
        <v>90.0</v>
      </c>
      <c r="D4" s="3" t="s">
        <v>30</v>
      </c>
      <c r="E4" s="2">
        <f t="shared" si="1"/>
        <v>890</v>
      </c>
      <c r="F4" s="1" t="s">
        <v>31</v>
      </c>
      <c r="G4" s="1">
        <f t="shared" si="2"/>
        <v>82300000</v>
      </c>
      <c r="H4" s="1" t="s">
        <v>32</v>
      </c>
      <c r="I4" s="1">
        <f t="shared" si="3"/>
        <v>6800000</v>
      </c>
      <c r="J4" s="4">
        <v>0.0124</v>
      </c>
      <c r="K4" s="1" t="s">
        <v>33</v>
      </c>
      <c r="L4" s="1">
        <f t="shared" si="4"/>
        <v>4400000</v>
      </c>
      <c r="M4" s="1" t="s">
        <v>34</v>
      </c>
      <c r="N4" s="1">
        <f t="shared" si="5"/>
        <v>6000000000</v>
      </c>
      <c r="O4" s="1" t="s">
        <v>28</v>
      </c>
    </row>
    <row r="5">
      <c r="A5" s="1">
        <v>4.0</v>
      </c>
      <c r="B5" s="1" t="s">
        <v>35</v>
      </c>
      <c r="C5" s="1">
        <v>93.0</v>
      </c>
      <c r="D5" s="3" t="s">
        <v>36</v>
      </c>
      <c r="E5" s="2">
        <f t="shared" si="1"/>
        <v>1800</v>
      </c>
      <c r="F5" s="1" t="s">
        <v>37</v>
      </c>
      <c r="G5" s="1">
        <f t="shared" si="2"/>
        <v>81300000</v>
      </c>
      <c r="H5" s="1" t="s">
        <v>38</v>
      </c>
      <c r="I5" s="1">
        <f t="shared" si="3"/>
        <v>6200000</v>
      </c>
      <c r="J5" s="4">
        <v>0.0097</v>
      </c>
      <c r="K5" s="1" t="s">
        <v>39</v>
      </c>
      <c r="L5" s="1">
        <f t="shared" si="4"/>
        <v>3300000</v>
      </c>
      <c r="M5" s="1" t="s">
        <v>40</v>
      </c>
      <c r="N5" s="1">
        <f t="shared" si="5"/>
        <v>11500000000</v>
      </c>
      <c r="O5" s="1" t="s">
        <v>28</v>
      </c>
    </row>
    <row r="6">
      <c r="A6" s="1">
        <v>5.0</v>
      </c>
      <c r="B6" s="1" t="s">
        <v>41</v>
      </c>
      <c r="C6" s="1">
        <v>91.0</v>
      </c>
      <c r="D6" s="3" t="s">
        <v>42</v>
      </c>
      <c r="E6" s="2">
        <f t="shared" si="1"/>
        <v>6800</v>
      </c>
      <c r="F6" s="1" t="s">
        <v>43</v>
      </c>
      <c r="G6" s="1">
        <f t="shared" si="2"/>
        <v>81100000</v>
      </c>
      <c r="H6" s="1" t="s">
        <v>44</v>
      </c>
      <c r="I6" s="1">
        <f t="shared" si="3"/>
        <v>1900000</v>
      </c>
      <c r="J6" s="4">
        <v>0.002</v>
      </c>
      <c r="K6" s="1" t="s">
        <v>45</v>
      </c>
      <c r="L6" s="1">
        <f t="shared" si="4"/>
        <v>665300</v>
      </c>
      <c r="M6" s="1" t="s">
        <v>46</v>
      </c>
      <c r="N6" s="1">
        <f t="shared" si="5"/>
        <v>12500000000</v>
      </c>
      <c r="O6" s="1" t="s">
        <v>28</v>
      </c>
    </row>
    <row r="7">
      <c r="A7" s="1">
        <v>6.0</v>
      </c>
      <c r="B7" s="1" t="s">
        <v>47</v>
      </c>
      <c r="C7" s="1">
        <v>91.0</v>
      </c>
      <c r="D7" s="3" t="s">
        <v>48</v>
      </c>
      <c r="E7" s="2">
        <f t="shared" si="1"/>
        <v>5600</v>
      </c>
      <c r="F7" s="1" t="s">
        <v>49</v>
      </c>
      <c r="G7" s="1">
        <f t="shared" si="2"/>
        <v>80900000</v>
      </c>
      <c r="H7" s="1" t="s">
        <v>50</v>
      </c>
      <c r="I7" s="1">
        <f t="shared" si="3"/>
        <v>3500000</v>
      </c>
      <c r="J7" s="4">
        <v>0.0088</v>
      </c>
      <c r="K7" s="1" t="s">
        <v>51</v>
      </c>
      <c r="L7" s="1">
        <f t="shared" si="4"/>
        <v>2900000</v>
      </c>
      <c r="M7" s="1" t="s">
        <v>52</v>
      </c>
      <c r="N7" s="1">
        <f t="shared" si="5"/>
        <v>19900000000</v>
      </c>
      <c r="O7" s="1" t="s">
        <v>28</v>
      </c>
    </row>
    <row r="8">
      <c r="A8" s="1">
        <v>7.0</v>
      </c>
      <c r="B8" s="1" t="s">
        <v>53</v>
      </c>
      <c r="C8" s="1">
        <v>92.0</v>
      </c>
      <c r="D8" s="3" t="s">
        <v>54</v>
      </c>
      <c r="E8" s="2">
        <f t="shared" si="1"/>
        <v>5000</v>
      </c>
      <c r="F8" s="1" t="s">
        <v>55</v>
      </c>
      <c r="G8" s="1">
        <f t="shared" si="2"/>
        <v>76100000</v>
      </c>
      <c r="H8" s="1" t="s">
        <v>56</v>
      </c>
      <c r="I8" s="1">
        <f t="shared" si="3"/>
        <v>3700000</v>
      </c>
      <c r="J8" s="4">
        <v>0.012</v>
      </c>
      <c r="K8" s="1" t="s">
        <v>57</v>
      </c>
      <c r="L8" s="1">
        <f t="shared" si="4"/>
        <v>3900000</v>
      </c>
      <c r="M8" s="1" t="s">
        <v>58</v>
      </c>
      <c r="N8" s="1">
        <f t="shared" si="5"/>
        <v>18400000000</v>
      </c>
      <c r="O8" s="1" t="s">
        <v>28</v>
      </c>
    </row>
    <row r="9">
      <c r="A9" s="1">
        <v>8.0</v>
      </c>
      <c r="B9" s="1" t="s">
        <v>59</v>
      </c>
      <c r="C9" s="1">
        <v>92.0</v>
      </c>
      <c r="D9" s="3" t="s">
        <v>60</v>
      </c>
      <c r="E9" s="2">
        <f t="shared" si="1"/>
        <v>2000</v>
      </c>
      <c r="F9" s="1" t="s">
        <v>61</v>
      </c>
      <c r="G9" s="1">
        <f t="shared" si="2"/>
        <v>75300000</v>
      </c>
      <c r="H9" s="1" t="s">
        <v>62</v>
      </c>
      <c r="I9" s="1">
        <f t="shared" si="3"/>
        <v>3600000</v>
      </c>
      <c r="J9" s="4">
        <v>0.0076</v>
      </c>
      <c r="K9" s="1" t="s">
        <v>63</v>
      </c>
      <c r="L9" s="1">
        <f t="shared" si="4"/>
        <v>2000000</v>
      </c>
      <c r="M9" s="1" t="s">
        <v>64</v>
      </c>
      <c r="N9" s="1">
        <f t="shared" si="5"/>
        <v>7400000000</v>
      </c>
      <c r="O9" s="1" t="s">
        <v>28</v>
      </c>
    </row>
    <row r="10">
      <c r="A10" s="1">
        <v>9.0</v>
      </c>
      <c r="B10" s="1" t="s">
        <v>65</v>
      </c>
      <c r="C10" s="1">
        <v>89.0</v>
      </c>
      <c r="D10" s="3" t="s">
        <v>66</v>
      </c>
      <c r="E10" s="2">
        <f t="shared" si="1"/>
        <v>4100</v>
      </c>
      <c r="F10" s="1" t="s">
        <v>61</v>
      </c>
      <c r="G10" s="1">
        <f t="shared" si="2"/>
        <v>75300000</v>
      </c>
      <c r="H10" s="1" t="s">
        <v>67</v>
      </c>
      <c r="I10" s="1">
        <f t="shared" si="3"/>
        <v>2400000</v>
      </c>
      <c r="J10" s="4">
        <v>0.0035</v>
      </c>
      <c r="K10" s="1" t="s">
        <v>68</v>
      </c>
      <c r="L10" s="1">
        <f t="shared" si="4"/>
        <v>926900</v>
      </c>
      <c r="M10" s="1" t="s">
        <v>69</v>
      </c>
      <c r="N10" s="1">
        <f t="shared" si="5"/>
        <v>9800000000</v>
      </c>
      <c r="O10" s="1" t="s">
        <v>28</v>
      </c>
    </row>
    <row r="11">
      <c r="A11" s="1">
        <v>10.0</v>
      </c>
      <c r="B11" s="1" t="s">
        <v>70</v>
      </c>
      <c r="C11" s="1">
        <v>91.0</v>
      </c>
      <c r="D11" s="3" t="s">
        <v>71</v>
      </c>
      <c r="E11" s="2">
        <f t="shared" si="1"/>
        <v>7400</v>
      </c>
      <c r="F11" s="1" t="s">
        <v>72</v>
      </c>
      <c r="G11" s="1">
        <f t="shared" si="2"/>
        <v>74900000</v>
      </c>
      <c r="H11" s="1" t="s">
        <v>44</v>
      </c>
      <c r="I11" s="1">
        <f t="shared" si="3"/>
        <v>1900000</v>
      </c>
      <c r="J11" s="4">
        <v>0.0059</v>
      </c>
      <c r="K11" s="1" t="s">
        <v>73</v>
      </c>
      <c r="L11" s="1">
        <f t="shared" si="4"/>
        <v>1500000</v>
      </c>
      <c r="M11" s="1" t="s">
        <v>74</v>
      </c>
      <c r="N11" s="1">
        <f t="shared" si="5"/>
        <v>13900000000</v>
      </c>
      <c r="O11" s="1" t="s">
        <v>75</v>
      </c>
    </row>
    <row r="12">
      <c r="A12" s="1">
        <v>11.0</v>
      </c>
      <c r="B12" s="1" t="s">
        <v>76</v>
      </c>
      <c r="C12" s="1">
        <v>90.0</v>
      </c>
      <c r="D12" s="3" t="s">
        <v>77</v>
      </c>
      <c r="E12" s="2">
        <f t="shared" si="1"/>
        <v>660</v>
      </c>
      <c r="F12" s="1" t="s">
        <v>78</v>
      </c>
      <c r="G12" s="1">
        <f t="shared" si="2"/>
        <v>73900000</v>
      </c>
      <c r="H12" s="1" t="s">
        <v>79</v>
      </c>
      <c r="I12" s="1">
        <f t="shared" si="3"/>
        <v>5500000</v>
      </c>
      <c r="J12" s="4">
        <v>0.0204</v>
      </c>
      <c r="K12" s="1" t="s">
        <v>80</v>
      </c>
      <c r="L12" s="1">
        <f t="shared" si="4"/>
        <v>5100000</v>
      </c>
      <c r="M12" s="1" t="s">
        <v>81</v>
      </c>
      <c r="N12" s="1">
        <f t="shared" si="5"/>
        <v>3700000000</v>
      </c>
      <c r="O12" s="1" t="s">
        <v>28</v>
      </c>
    </row>
    <row r="13">
      <c r="A13" s="1">
        <v>12.0</v>
      </c>
      <c r="B13" s="1" t="s">
        <v>82</v>
      </c>
      <c r="C13" s="1">
        <v>91.0</v>
      </c>
      <c r="D13" s="3" t="s">
        <v>83</v>
      </c>
      <c r="E13" s="2">
        <f t="shared" si="1"/>
        <v>10000</v>
      </c>
      <c r="F13" s="1" t="s">
        <v>84</v>
      </c>
      <c r="G13" s="1">
        <f t="shared" si="2"/>
        <v>73200000</v>
      </c>
      <c r="H13" s="1" t="s">
        <v>85</v>
      </c>
      <c r="I13" s="1">
        <f t="shared" si="3"/>
        <v>302200</v>
      </c>
      <c r="J13" s="4">
        <v>7.0E-4</v>
      </c>
      <c r="K13" s="1" t="s">
        <v>86</v>
      </c>
      <c r="L13" s="1">
        <f t="shared" si="4"/>
        <v>159300</v>
      </c>
      <c r="M13" s="1" t="s">
        <v>87</v>
      </c>
      <c r="N13" s="1">
        <f t="shared" si="5"/>
        <v>3000000000</v>
      </c>
      <c r="O13" s="1" t="s">
        <v>28</v>
      </c>
    </row>
    <row r="14">
      <c r="A14" s="1">
        <v>13.0</v>
      </c>
      <c r="B14" s="1" t="s">
        <v>88</v>
      </c>
      <c r="C14" s="1">
        <v>90.0</v>
      </c>
      <c r="D14" s="3" t="s">
        <v>89</v>
      </c>
      <c r="E14" s="2">
        <f t="shared" si="1"/>
        <v>950</v>
      </c>
      <c r="F14" s="1" t="s">
        <v>90</v>
      </c>
      <c r="G14" s="1">
        <f t="shared" si="2"/>
        <v>72700000</v>
      </c>
      <c r="H14" s="1" t="s">
        <v>91</v>
      </c>
      <c r="I14" s="1">
        <f t="shared" si="3"/>
        <v>329000</v>
      </c>
      <c r="J14" s="4">
        <v>8.0E-4</v>
      </c>
      <c r="K14" s="1" t="s">
        <v>92</v>
      </c>
      <c r="L14" s="1">
        <f t="shared" si="4"/>
        <v>181800</v>
      </c>
      <c r="M14" s="1" t="s">
        <v>93</v>
      </c>
      <c r="N14" s="1">
        <f t="shared" si="5"/>
        <v>313600000</v>
      </c>
      <c r="O14" s="1" t="s">
        <v>28</v>
      </c>
    </row>
    <row r="15">
      <c r="A15" s="1">
        <v>14.0</v>
      </c>
      <c r="B15" s="1" t="s">
        <v>94</v>
      </c>
      <c r="C15" s="1">
        <v>91.0</v>
      </c>
      <c r="D15" s="3" t="s">
        <v>95</v>
      </c>
      <c r="E15" s="2">
        <f t="shared" si="1"/>
        <v>530</v>
      </c>
      <c r="F15" s="1" t="s">
        <v>96</v>
      </c>
      <c r="G15" s="1">
        <f t="shared" si="2"/>
        <v>70400000</v>
      </c>
      <c r="H15" s="1" t="s">
        <v>67</v>
      </c>
      <c r="I15" s="1">
        <f t="shared" si="3"/>
        <v>2400000</v>
      </c>
      <c r="J15" s="4">
        <v>0.0101</v>
      </c>
      <c r="K15" s="1" t="s">
        <v>97</v>
      </c>
      <c r="L15" s="1">
        <f t="shared" si="4"/>
        <v>2300000</v>
      </c>
      <c r="M15" s="1" t="s">
        <v>98</v>
      </c>
      <c r="N15" s="1">
        <f t="shared" si="5"/>
        <v>1300000000</v>
      </c>
      <c r="O15" s="1" t="s">
        <v>28</v>
      </c>
    </row>
    <row r="16">
      <c r="A16" s="1">
        <v>15.0</v>
      </c>
      <c r="B16" s="1" t="s">
        <v>99</v>
      </c>
      <c r="C16" s="1">
        <v>89.0</v>
      </c>
      <c r="D16" s="3" t="s">
        <v>100</v>
      </c>
      <c r="E16" s="2">
        <f t="shared" si="1"/>
        <v>3200</v>
      </c>
      <c r="F16" s="1" t="s">
        <v>101</v>
      </c>
      <c r="G16" s="1">
        <f t="shared" si="2"/>
        <v>70100000</v>
      </c>
      <c r="H16" s="1" t="s">
        <v>102</v>
      </c>
      <c r="I16" s="1">
        <f t="shared" si="3"/>
        <v>1700000</v>
      </c>
      <c r="J16" s="4">
        <v>0.0062</v>
      </c>
      <c r="K16" s="1" t="s">
        <v>103</v>
      </c>
      <c r="L16" s="1">
        <f t="shared" si="4"/>
        <v>1400000</v>
      </c>
      <c r="M16" s="1" t="s">
        <v>104</v>
      </c>
      <c r="N16" s="1">
        <f t="shared" si="5"/>
        <v>5300000000</v>
      </c>
      <c r="O16" s="1" t="s">
        <v>28</v>
      </c>
    </row>
    <row r="17">
      <c r="A17" s="1">
        <v>16.0</v>
      </c>
      <c r="B17" s="1" t="s">
        <v>105</v>
      </c>
      <c r="C17" s="1">
        <v>87.0</v>
      </c>
      <c r="D17" s="3" t="s">
        <v>106</v>
      </c>
      <c r="E17" s="2">
        <f t="shared" si="1"/>
        <v>1400</v>
      </c>
      <c r="F17" s="1" t="s">
        <v>107</v>
      </c>
      <c r="G17" s="1">
        <f t="shared" si="2"/>
        <v>69900000</v>
      </c>
      <c r="H17" s="1" t="s">
        <v>50</v>
      </c>
      <c r="I17" s="1">
        <f t="shared" si="3"/>
        <v>3500000</v>
      </c>
      <c r="J17" s="4">
        <v>0.0096</v>
      </c>
      <c r="K17" s="1" t="s">
        <v>63</v>
      </c>
      <c r="L17" s="1">
        <f t="shared" si="4"/>
        <v>2000000</v>
      </c>
      <c r="M17" s="1" t="s">
        <v>108</v>
      </c>
      <c r="N17" s="1">
        <f t="shared" si="5"/>
        <v>4900000000</v>
      </c>
      <c r="O17" s="1" t="s">
        <v>28</v>
      </c>
    </row>
    <row r="18">
      <c r="A18" s="1">
        <v>17.0</v>
      </c>
      <c r="B18" s="1" t="s">
        <v>109</v>
      </c>
      <c r="C18" s="1">
        <v>90.0</v>
      </c>
      <c r="D18" s="3" t="s">
        <v>110</v>
      </c>
      <c r="E18" s="2">
        <f t="shared" si="1"/>
        <v>6400</v>
      </c>
      <c r="F18" s="1" t="s">
        <v>111</v>
      </c>
      <c r="G18" s="1">
        <f t="shared" si="2"/>
        <v>68900000</v>
      </c>
      <c r="H18" s="1" t="s">
        <v>112</v>
      </c>
      <c r="I18" s="1">
        <f t="shared" si="3"/>
        <v>2100000</v>
      </c>
      <c r="J18" s="4">
        <v>0.0053</v>
      </c>
      <c r="K18" s="1" t="s">
        <v>113</v>
      </c>
      <c r="L18" s="1">
        <f t="shared" si="4"/>
        <v>1000000</v>
      </c>
      <c r="M18" s="1" t="s">
        <v>114</v>
      </c>
      <c r="N18" s="1">
        <f t="shared" si="5"/>
        <v>13500000000</v>
      </c>
      <c r="O18" s="1" t="s">
        <v>28</v>
      </c>
    </row>
    <row r="19">
      <c r="A19" s="1">
        <v>18.0</v>
      </c>
      <c r="B19" s="1" t="s">
        <v>115</v>
      </c>
      <c r="C19" s="1">
        <v>89.0</v>
      </c>
      <c r="D19" s="3" t="s">
        <v>116</v>
      </c>
      <c r="E19" s="2">
        <f t="shared" si="1"/>
        <v>4400</v>
      </c>
      <c r="F19" s="1" t="s">
        <v>111</v>
      </c>
      <c r="G19" s="1">
        <f t="shared" si="2"/>
        <v>68900000</v>
      </c>
      <c r="H19" s="1" t="s">
        <v>117</v>
      </c>
      <c r="I19" s="1">
        <f t="shared" si="3"/>
        <v>1800000</v>
      </c>
      <c r="J19" s="4">
        <v>0.0067</v>
      </c>
      <c r="K19" s="1" t="s">
        <v>118</v>
      </c>
      <c r="L19" s="1">
        <f t="shared" si="4"/>
        <v>1300000</v>
      </c>
      <c r="M19" s="1" t="s">
        <v>119</v>
      </c>
      <c r="N19" s="1">
        <f t="shared" si="5"/>
        <v>7700000000</v>
      </c>
      <c r="O19" s="1" t="s">
        <v>28</v>
      </c>
    </row>
    <row r="20">
      <c r="A20" s="1">
        <v>19.0</v>
      </c>
      <c r="B20" s="1" t="s">
        <v>120</v>
      </c>
      <c r="C20" s="1">
        <v>89.0</v>
      </c>
      <c r="D20" s="3" t="s">
        <v>121</v>
      </c>
      <c r="E20" s="2">
        <f t="shared" si="1"/>
        <v>1200</v>
      </c>
      <c r="F20" s="1" t="s">
        <v>122</v>
      </c>
      <c r="G20" s="1">
        <f t="shared" si="2"/>
        <v>68700000</v>
      </c>
      <c r="H20" s="1" t="s">
        <v>118</v>
      </c>
      <c r="I20" s="1">
        <f t="shared" si="3"/>
        <v>1300000</v>
      </c>
      <c r="J20" s="4">
        <v>0.0051</v>
      </c>
      <c r="K20" s="1" t="s">
        <v>123</v>
      </c>
      <c r="L20" s="1">
        <f t="shared" si="4"/>
        <v>913600</v>
      </c>
      <c r="M20" s="1" t="s">
        <v>124</v>
      </c>
      <c r="N20" s="1">
        <f t="shared" si="5"/>
        <v>1600000000</v>
      </c>
      <c r="O20" s="1" t="s">
        <v>28</v>
      </c>
    </row>
    <row r="21">
      <c r="A21" s="1">
        <v>20.0</v>
      </c>
      <c r="B21" s="1" t="s">
        <v>125</v>
      </c>
      <c r="C21" s="1">
        <v>90.0</v>
      </c>
      <c r="D21" s="3" t="s">
        <v>126</v>
      </c>
      <c r="E21" s="2">
        <f t="shared" si="1"/>
        <v>5300</v>
      </c>
      <c r="F21" s="1" t="s">
        <v>127</v>
      </c>
      <c r="G21" s="1">
        <f t="shared" si="2"/>
        <v>68400000</v>
      </c>
      <c r="H21" s="1" t="s">
        <v>128</v>
      </c>
      <c r="I21" s="1">
        <f t="shared" si="3"/>
        <v>2700000</v>
      </c>
      <c r="J21" s="4">
        <v>0.0109</v>
      </c>
      <c r="K21" s="1" t="s">
        <v>44</v>
      </c>
      <c r="L21" s="1">
        <f t="shared" si="4"/>
        <v>1900000</v>
      </c>
      <c r="M21" s="1" t="s">
        <v>129</v>
      </c>
      <c r="N21" s="1">
        <f t="shared" si="5"/>
        <v>14100000000</v>
      </c>
      <c r="O21" s="1" t="s">
        <v>130</v>
      </c>
    </row>
    <row r="22">
      <c r="A22" s="1">
        <v>21.0</v>
      </c>
      <c r="B22" s="1" t="s">
        <v>131</v>
      </c>
      <c r="C22" s="1">
        <v>92.0</v>
      </c>
      <c r="D22" s="3" t="s">
        <v>60</v>
      </c>
      <c r="E22" s="2">
        <f t="shared" si="1"/>
        <v>2000</v>
      </c>
      <c r="F22" s="1" t="s">
        <v>132</v>
      </c>
      <c r="G22" s="1">
        <f t="shared" si="2"/>
        <v>67700000</v>
      </c>
      <c r="H22" s="1" t="s">
        <v>133</v>
      </c>
      <c r="I22" s="1">
        <f t="shared" si="3"/>
        <v>715000</v>
      </c>
      <c r="J22" s="4">
        <v>0.0016</v>
      </c>
      <c r="K22" s="1" t="s">
        <v>134</v>
      </c>
      <c r="L22" s="1">
        <f t="shared" si="4"/>
        <v>265100</v>
      </c>
      <c r="M22" s="1" t="s">
        <v>135</v>
      </c>
      <c r="N22" s="1">
        <f t="shared" si="5"/>
        <v>1500000000</v>
      </c>
      <c r="O22" s="1" t="s">
        <v>28</v>
      </c>
    </row>
    <row r="23">
      <c r="A23" s="1">
        <v>22.0</v>
      </c>
      <c r="B23" s="1" t="s">
        <v>136</v>
      </c>
      <c r="C23" s="1">
        <v>88.0</v>
      </c>
      <c r="D23" s="3" t="s">
        <v>137</v>
      </c>
      <c r="E23" s="2">
        <f t="shared" si="1"/>
        <v>8200</v>
      </c>
      <c r="F23" s="1" t="s">
        <v>132</v>
      </c>
      <c r="G23" s="1">
        <f t="shared" si="2"/>
        <v>67700000</v>
      </c>
      <c r="H23" s="1" t="s">
        <v>138</v>
      </c>
      <c r="I23" s="1">
        <f t="shared" si="3"/>
        <v>522000</v>
      </c>
      <c r="J23" s="4">
        <v>8.0E-4</v>
      </c>
      <c r="K23" s="1" t="s">
        <v>139</v>
      </c>
      <c r="L23" s="1">
        <f t="shared" si="4"/>
        <v>115200</v>
      </c>
      <c r="M23" s="1" t="s">
        <v>140</v>
      </c>
      <c r="N23" s="1">
        <f t="shared" si="5"/>
        <v>4300000000</v>
      </c>
      <c r="O23" s="1" t="s">
        <v>28</v>
      </c>
    </row>
    <row r="24">
      <c r="A24" s="1">
        <v>23.0</v>
      </c>
      <c r="B24" s="1" t="s">
        <v>141</v>
      </c>
      <c r="C24" s="1">
        <v>87.0</v>
      </c>
      <c r="D24" s="3" t="s">
        <v>142</v>
      </c>
      <c r="E24" s="2">
        <f t="shared" si="1"/>
        <v>3500</v>
      </c>
      <c r="F24" s="1" t="s">
        <v>143</v>
      </c>
      <c r="G24" s="1">
        <f t="shared" si="2"/>
        <v>67300000</v>
      </c>
      <c r="H24" s="1" t="s">
        <v>144</v>
      </c>
      <c r="I24" s="1">
        <f t="shared" si="3"/>
        <v>5800000</v>
      </c>
      <c r="J24" s="4">
        <v>0.0317</v>
      </c>
      <c r="K24" s="1" t="s">
        <v>145</v>
      </c>
      <c r="L24" s="1">
        <f t="shared" si="4"/>
        <v>4800000</v>
      </c>
      <c r="M24" s="1" t="s">
        <v>146</v>
      </c>
      <c r="N24" s="1">
        <f t="shared" si="5"/>
        <v>20600000000</v>
      </c>
      <c r="O24" s="1" t="s">
        <v>28</v>
      </c>
    </row>
    <row r="25">
      <c r="A25" s="1">
        <v>24.0</v>
      </c>
      <c r="B25" s="1" t="s">
        <v>147</v>
      </c>
      <c r="C25" s="1">
        <v>75.0</v>
      </c>
      <c r="D25" s="3" t="s">
        <v>148</v>
      </c>
      <c r="E25" s="2">
        <f t="shared" si="1"/>
        <v>1600</v>
      </c>
      <c r="F25" s="1" t="s">
        <v>149</v>
      </c>
      <c r="G25" s="1">
        <f t="shared" si="2"/>
        <v>66900000</v>
      </c>
      <c r="H25" s="1" t="s">
        <v>150</v>
      </c>
      <c r="I25" s="1">
        <f t="shared" si="3"/>
        <v>3100000</v>
      </c>
      <c r="J25" s="4">
        <v>0.011</v>
      </c>
      <c r="K25" s="1" t="s">
        <v>73</v>
      </c>
      <c r="L25" s="1">
        <f t="shared" si="4"/>
        <v>1500000</v>
      </c>
      <c r="M25" s="1" t="s">
        <v>151</v>
      </c>
      <c r="N25" s="1">
        <f t="shared" si="5"/>
        <v>5000000000</v>
      </c>
      <c r="O25" s="1" t="s">
        <v>28</v>
      </c>
    </row>
    <row r="26">
      <c r="A26" s="1">
        <v>25.0</v>
      </c>
      <c r="B26" s="1" t="s">
        <v>152</v>
      </c>
      <c r="C26" s="1">
        <v>88.0</v>
      </c>
      <c r="D26" s="3" t="s">
        <v>153</v>
      </c>
      <c r="E26" s="2">
        <f t="shared" si="1"/>
        <v>80</v>
      </c>
      <c r="F26" s="1" t="s">
        <v>154</v>
      </c>
      <c r="G26" s="1">
        <f t="shared" si="2"/>
        <v>66300000</v>
      </c>
      <c r="H26" s="1" t="s">
        <v>155</v>
      </c>
      <c r="I26" s="1">
        <f t="shared" si="3"/>
        <v>1100000</v>
      </c>
      <c r="J26" s="4">
        <v>0.0027</v>
      </c>
      <c r="K26" s="1" t="s">
        <v>156</v>
      </c>
      <c r="L26" s="1">
        <f t="shared" si="4"/>
        <v>363400</v>
      </c>
      <c r="M26" s="1" t="s">
        <v>157</v>
      </c>
      <c r="N26" s="1">
        <f t="shared" si="5"/>
        <v>91300000</v>
      </c>
      <c r="O26" s="1" t="s">
        <v>28</v>
      </c>
    </row>
    <row r="27">
      <c r="A27" s="1">
        <v>26.0</v>
      </c>
      <c r="B27" s="1" t="s">
        <v>158</v>
      </c>
      <c r="C27" s="1">
        <v>88.0</v>
      </c>
      <c r="D27" s="3" t="s">
        <v>159</v>
      </c>
      <c r="E27" s="2">
        <f t="shared" si="1"/>
        <v>4800</v>
      </c>
      <c r="F27" s="1" t="s">
        <v>160</v>
      </c>
      <c r="G27" s="1">
        <f t="shared" si="2"/>
        <v>66200000</v>
      </c>
      <c r="H27" s="1" t="s">
        <v>56</v>
      </c>
      <c r="I27" s="1">
        <f t="shared" si="3"/>
        <v>3700000</v>
      </c>
      <c r="J27" s="4">
        <v>2.0E-4</v>
      </c>
      <c r="K27" s="1">
        <v>0.0</v>
      </c>
      <c r="L27" s="1">
        <f t="shared" si="4"/>
        <v>0</v>
      </c>
      <c r="M27" s="1" t="s">
        <v>161</v>
      </c>
      <c r="N27" s="1">
        <f t="shared" si="5"/>
        <v>17900000000</v>
      </c>
      <c r="O27" s="1" t="s">
        <v>28</v>
      </c>
    </row>
    <row r="28">
      <c r="A28" s="1">
        <v>27.0</v>
      </c>
      <c r="B28" s="1" t="s">
        <v>162</v>
      </c>
      <c r="C28" s="1">
        <v>86.0</v>
      </c>
      <c r="D28" s="3" t="s">
        <v>163</v>
      </c>
      <c r="E28" s="2">
        <f t="shared" si="1"/>
        <v>2300</v>
      </c>
      <c r="F28" s="1" t="s">
        <v>164</v>
      </c>
      <c r="G28" s="1">
        <f t="shared" si="2"/>
        <v>65900000</v>
      </c>
      <c r="H28" s="1" t="s">
        <v>112</v>
      </c>
      <c r="I28" s="1">
        <f t="shared" si="3"/>
        <v>2100000</v>
      </c>
      <c r="J28" s="4">
        <v>0.0092</v>
      </c>
      <c r="K28" s="1" t="s">
        <v>165</v>
      </c>
      <c r="L28" s="1">
        <f t="shared" si="4"/>
        <v>1200000</v>
      </c>
      <c r="M28" s="1" t="s">
        <v>108</v>
      </c>
      <c r="N28" s="1">
        <f t="shared" si="5"/>
        <v>4900000000</v>
      </c>
      <c r="O28" s="1" t="s">
        <v>28</v>
      </c>
    </row>
    <row r="29">
      <c r="A29" s="1">
        <v>28.0</v>
      </c>
      <c r="B29" s="1" t="s">
        <v>166</v>
      </c>
      <c r="C29" s="1">
        <v>87.0</v>
      </c>
      <c r="D29" s="3" t="s">
        <v>83</v>
      </c>
      <c r="E29" s="2">
        <f t="shared" si="1"/>
        <v>10000</v>
      </c>
      <c r="F29" s="1" t="s">
        <v>167</v>
      </c>
      <c r="G29" s="1">
        <f t="shared" si="2"/>
        <v>65000000</v>
      </c>
      <c r="H29" s="1" t="s">
        <v>168</v>
      </c>
      <c r="I29" s="1">
        <f t="shared" si="3"/>
        <v>420500</v>
      </c>
      <c r="J29" s="4">
        <v>7.0E-4</v>
      </c>
      <c r="K29" s="1" t="s">
        <v>169</v>
      </c>
      <c r="L29" s="1">
        <f t="shared" si="4"/>
        <v>81700</v>
      </c>
      <c r="M29" s="1" t="s">
        <v>170</v>
      </c>
      <c r="N29" s="1">
        <f t="shared" si="5"/>
        <v>4200000000</v>
      </c>
      <c r="O29" s="1" t="s">
        <v>28</v>
      </c>
    </row>
    <row r="30">
      <c r="A30" s="1">
        <v>29.0</v>
      </c>
      <c r="B30" s="1" t="s">
        <v>171</v>
      </c>
      <c r="C30" s="1">
        <v>90.0</v>
      </c>
      <c r="D30" s="3" t="s">
        <v>23</v>
      </c>
      <c r="E30" s="2">
        <f t="shared" si="1"/>
        <v>6900</v>
      </c>
      <c r="F30" s="1" t="s">
        <v>172</v>
      </c>
      <c r="G30" s="1">
        <f t="shared" si="2"/>
        <v>63900000</v>
      </c>
      <c r="H30" s="1" t="s">
        <v>173</v>
      </c>
      <c r="I30" s="1">
        <f t="shared" si="3"/>
        <v>996200</v>
      </c>
      <c r="J30" s="4">
        <v>0.0048</v>
      </c>
      <c r="K30" s="1" t="s">
        <v>174</v>
      </c>
      <c r="L30" s="1">
        <f t="shared" si="4"/>
        <v>588300</v>
      </c>
      <c r="M30" s="1" t="s">
        <v>175</v>
      </c>
      <c r="N30" s="1">
        <f t="shared" si="5"/>
        <v>6800000000</v>
      </c>
      <c r="O30" s="1" t="s">
        <v>21</v>
      </c>
    </row>
    <row r="31">
      <c r="A31" s="1">
        <v>30.0</v>
      </c>
      <c r="B31" s="1" t="s">
        <v>176</v>
      </c>
      <c r="C31" s="1">
        <v>85.0</v>
      </c>
      <c r="D31" s="3" t="s">
        <v>177</v>
      </c>
      <c r="E31" s="2">
        <f t="shared" si="1"/>
        <v>5200</v>
      </c>
      <c r="F31" s="1" t="s">
        <v>178</v>
      </c>
      <c r="G31" s="1">
        <f t="shared" si="2"/>
        <v>63500000</v>
      </c>
      <c r="H31" s="1" t="s">
        <v>102</v>
      </c>
      <c r="I31" s="1">
        <f t="shared" si="3"/>
        <v>1700000</v>
      </c>
      <c r="J31" s="4">
        <v>0.011</v>
      </c>
      <c r="K31" s="1" t="s">
        <v>118</v>
      </c>
      <c r="L31" s="1">
        <f t="shared" si="4"/>
        <v>1300000</v>
      </c>
      <c r="M31" s="1" t="s">
        <v>179</v>
      </c>
      <c r="N31" s="1">
        <f t="shared" si="5"/>
        <v>9000000000</v>
      </c>
      <c r="O31" s="1" t="s">
        <v>180</v>
      </c>
    </row>
    <row r="32">
      <c r="A32" s="1">
        <v>31.0</v>
      </c>
      <c r="B32" s="1" t="s">
        <v>181</v>
      </c>
      <c r="C32" s="1">
        <v>86.0</v>
      </c>
      <c r="D32" s="3" t="s">
        <v>182</v>
      </c>
      <c r="E32" s="2">
        <f t="shared" si="1"/>
        <v>7300</v>
      </c>
      <c r="F32" s="1" t="s">
        <v>183</v>
      </c>
      <c r="G32" s="1">
        <f t="shared" si="2"/>
        <v>63100000</v>
      </c>
      <c r="H32" s="1" t="s">
        <v>184</v>
      </c>
      <c r="I32" s="1">
        <f t="shared" si="3"/>
        <v>463200</v>
      </c>
      <c r="J32" s="4">
        <v>0.0022</v>
      </c>
      <c r="K32" s="1" t="s">
        <v>185</v>
      </c>
      <c r="L32" s="1">
        <f t="shared" si="4"/>
        <v>255900</v>
      </c>
      <c r="M32" s="1" t="s">
        <v>186</v>
      </c>
      <c r="N32" s="1">
        <f t="shared" si="5"/>
        <v>3400000000</v>
      </c>
      <c r="O32" s="1" t="s">
        <v>28</v>
      </c>
    </row>
    <row r="33">
      <c r="A33" s="1">
        <v>32.0</v>
      </c>
      <c r="B33" s="1" t="s">
        <v>187</v>
      </c>
      <c r="C33" s="1">
        <v>90.0</v>
      </c>
      <c r="D33" s="3" t="s">
        <v>83</v>
      </c>
      <c r="E33" s="2">
        <f t="shared" si="1"/>
        <v>10000</v>
      </c>
      <c r="F33" s="1" t="s">
        <v>188</v>
      </c>
      <c r="G33" s="1">
        <f t="shared" si="2"/>
        <v>62900000</v>
      </c>
      <c r="H33" s="1" t="s">
        <v>165</v>
      </c>
      <c r="I33" s="1">
        <f t="shared" si="3"/>
        <v>1200000</v>
      </c>
      <c r="J33" s="4">
        <v>0.0064</v>
      </c>
      <c r="K33" s="1" t="s">
        <v>189</v>
      </c>
      <c r="L33" s="1">
        <f t="shared" si="4"/>
        <v>706300</v>
      </c>
      <c r="M33" s="1" t="s">
        <v>190</v>
      </c>
      <c r="N33" s="1">
        <f t="shared" si="5"/>
        <v>11600000000</v>
      </c>
      <c r="O33" s="1" t="s">
        <v>28</v>
      </c>
    </row>
    <row r="34">
      <c r="A34" s="1">
        <v>33.0</v>
      </c>
      <c r="B34" s="1" t="s">
        <v>191</v>
      </c>
      <c r="C34" s="1">
        <v>73.0</v>
      </c>
      <c r="D34" s="3" t="s">
        <v>192</v>
      </c>
      <c r="E34" s="2">
        <f t="shared" si="1"/>
        <v>690</v>
      </c>
      <c r="F34" s="1" t="s">
        <v>193</v>
      </c>
      <c r="G34" s="1">
        <f t="shared" si="2"/>
        <v>62800000</v>
      </c>
      <c r="H34" s="1" t="s">
        <v>194</v>
      </c>
      <c r="I34" s="1">
        <f t="shared" si="3"/>
        <v>8500000</v>
      </c>
      <c r="J34" s="4">
        <v>0.0502</v>
      </c>
      <c r="K34" s="1" t="s">
        <v>195</v>
      </c>
      <c r="L34" s="1">
        <f t="shared" si="4"/>
        <v>5200000</v>
      </c>
      <c r="M34" s="1" t="s">
        <v>196</v>
      </c>
      <c r="N34" s="1">
        <f t="shared" si="5"/>
        <v>5900000000</v>
      </c>
      <c r="O34" s="1" t="s">
        <v>28</v>
      </c>
    </row>
    <row r="35">
      <c r="A35" s="1">
        <v>34.0</v>
      </c>
      <c r="B35" s="1" t="s">
        <v>197</v>
      </c>
      <c r="C35" s="1">
        <v>74.0</v>
      </c>
      <c r="D35" s="3" t="s">
        <v>198</v>
      </c>
      <c r="E35" s="2">
        <f t="shared" si="1"/>
        <v>1300</v>
      </c>
      <c r="F35" s="1" t="s">
        <v>193</v>
      </c>
      <c r="G35" s="1">
        <f t="shared" si="2"/>
        <v>62800000</v>
      </c>
      <c r="H35" s="1" t="s">
        <v>112</v>
      </c>
      <c r="I35" s="1">
        <f t="shared" si="3"/>
        <v>2100000</v>
      </c>
      <c r="J35" s="4">
        <v>0.0126</v>
      </c>
      <c r="K35" s="1" t="s">
        <v>155</v>
      </c>
      <c r="L35" s="1">
        <f t="shared" si="4"/>
        <v>1100000</v>
      </c>
      <c r="M35" s="1" t="s">
        <v>199</v>
      </c>
      <c r="N35" s="1">
        <f t="shared" si="5"/>
        <v>2600000000</v>
      </c>
      <c r="O35" s="1" t="s">
        <v>200</v>
      </c>
    </row>
    <row r="36">
      <c r="A36" s="1">
        <v>35.0</v>
      </c>
      <c r="B36" s="1" t="s">
        <v>201</v>
      </c>
      <c r="C36" s="1">
        <v>85.0</v>
      </c>
      <c r="D36" s="3" t="s">
        <v>202</v>
      </c>
      <c r="E36" s="2">
        <f t="shared" si="1"/>
        <v>1700</v>
      </c>
      <c r="F36" s="1" t="s">
        <v>203</v>
      </c>
      <c r="G36" s="1">
        <f t="shared" si="2"/>
        <v>62700000</v>
      </c>
      <c r="H36" s="1" t="s">
        <v>103</v>
      </c>
      <c r="I36" s="1">
        <f t="shared" si="3"/>
        <v>1400000</v>
      </c>
      <c r="J36" s="4">
        <v>0.0069</v>
      </c>
      <c r="K36" s="1" t="s">
        <v>204</v>
      </c>
      <c r="L36" s="1">
        <f t="shared" si="4"/>
        <v>586500</v>
      </c>
      <c r="M36" s="1" t="s">
        <v>205</v>
      </c>
      <c r="N36" s="1">
        <f t="shared" si="5"/>
        <v>2300000000</v>
      </c>
      <c r="O36" s="1" t="s">
        <v>28</v>
      </c>
    </row>
    <row r="37">
      <c r="A37" s="1">
        <v>36.0</v>
      </c>
      <c r="B37" s="1" t="s">
        <v>206</v>
      </c>
      <c r="C37" s="1">
        <v>88.0</v>
      </c>
      <c r="D37" s="3" t="s">
        <v>36</v>
      </c>
      <c r="E37" s="2">
        <f t="shared" si="1"/>
        <v>1800</v>
      </c>
      <c r="F37" s="1" t="s">
        <v>207</v>
      </c>
      <c r="G37" s="1">
        <f t="shared" si="2"/>
        <v>61900000</v>
      </c>
      <c r="H37" s="1" t="s">
        <v>103</v>
      </c>
      <c r="I37" s="1">
        <f t="shared" si="3"/>
        <v>1400000</v>
      </c>
      <c r="J37" s="4">
        <v>0.006</v>
      </c>
      <c r="K37" s="1" t="s">
        <v>208</v>
      </c>
      <c r="L37" s="1">
        <f t="shared" si="4"/>
        <v>482300</v>
      </c>
      <c r="M37" s="1" t="s">
        <v>209</v>
      </c>
      <c r="N37" s="1">
        <f t="shared" si="5"/>
        <v>2500000000</v>
      </c>
      <c r="O37" s="1" t="s">
        <v>28</v>
      </c>
    </row>
    <row r="38">
      <c r="A38" s="1">
        <v>37.0</v>
      </c>
      <c r="B38" s="1" t="s">
        <v>210</v>
      </c>
      <c r="C38" s="1">
        <v>88.0</v>
      </c>
      <c r="D38" s="3" t="s">
        <v>211</v>
      </c>
      <c r="E38" s="2">
        <f t="shared" si="1"/>
        <v>3600</v>
      </c>
      <c r="F38" s="1" t="s">
        <v>212</v>
      </c>
      <c r="G38" s="1">
        <f t="shared" si="2"/>
        <v>61800000</v>
      </c>
      <c r="H38" s="1" t="s">
        <v>165</v>
      </c>
      <c r="I38" s="1">
        <f t="shared" si="3"/>
        <v>1200000</v>
      </c>
      <c r="J38" s="4">
        <v>0.0153</v>
      </c>
      <c r="K38" s="1" t="s">
        <v>165</v>
      </c>
      <c r="L38" s="1">
        <f t="shared" si="4"/>
        <v>1200000</v>
      </c>
      <c r="M38" s="1" t="s">
        <v>170</v>
      </c>
      <c r="N38" s="1">
        <f t="shared" si="5"/>
        <v>4200000000</v>
      </c>
      <c r="O38" s="1" t="s">
        <v>28</v>
      </c>
    </row>
    <row r="39">
      <c r="A39" s="1">
        <v>38.0</v>
      </c>
      <c r="B39" s="1" t="s">
        <v>213</v>
      </c>
      <c r="C39" s="1">
        <v>85.0</v>
      </c>
      <c r="D39" s="3" t="s">
        <v>211</v>
      </c>
      <c r="E39" s="2">
        <f t="shared" si="1"/>
        <v>3600</v>
      </c>
      <c r="F39" s="1" t="s">
        <v>214</v>
      </c>
      <c r="G39" s="1">
        <f t="shared" si="2"/>
        <v>59600000</v>
      </c>
      <c r="H39" s="1" t="s">
        <v>215</v>
      </c>
      <c r="I39" s="1">
        <f t="shared" si="3"/>
        <v>1600000</v>
      </c>
      <c r="J39" s="4">
        <v>0.01</v>
      </c>
      <c r="K39" s="1" t="s">
        <v>216</v>
      </c>
      <c r="L39" s="1">
        <f t="shared" si="4"/>
        <v>802900</v>
      </c>
      <c r="M39" s="1" t="s">
        <v>217</v>
      </c>
      <c r="N39" s="1">
        <f t="shared" si="5"/>
        <v>5600000000</v>
      </c>
      <c r="O39" s="1" t="s">
        <v>28</v>
      </c>
    </row>
    <row r="40">
      <c r="A40" s="1">
        <v>39.0</v>
      </c>
      <c r="B40" s="1" t="s">
        <v>218</v>
      </c>
      <c r="C40" s="1">
        <v>70.0</v>
      </c>
      <c r="D40" s="3" t="s">
        <v>219</v>
      </c>
      <c r="E40" s="2">
        <f t="shared" si="1"/>
        <v>870</v>
      </c>
      <c r="F40" s="1" t="s">
        <v>220</v>
      </c>
      <c r="G40" s="1">
        <f t="shared" si="2"/>
        <v>59500000</v>
      </c>
      <c r="H40" s="1" t="s">
        <v>144</v>
      </c>
      <c r="I40" s="1">
        <f t="shared" si="3"/>
        <v>5800000</v>
      </c>
      <c r="J40" s="4">
        <v>0.09</v>
      </c>
      <c r="K40" s="1" t="s">
        <v>221</v>
      </c>
      <c r="L40" s="1">
        <f t="shared" si="4"/>
        <v>7200000</v>
      </c>
      <c r="M40" s="1" t="s">
        <v>222</v>
      </c>
      <c r="N40" s="1">
        <f t="shared" si="5"/>
        <v>5100000000</v>
      </c>
      <c r="O40" s="1" t="s">
        <v>28</v>
      </c>
    </row>
    <row r="41">
      <c r="A41" s="1">
        <v>40.0</v>
      </c>
      <c r="B41" s="1" t="s">
        <v>223</v>
      </c>
      <c r="C41" s="1">
        <v>88.0</v>
      </c>
      <c r="D41" s="3" t="s">
        <v>60</v>
      </c>
      <c r="E41" s="2">
        <f t="shared" si="1"/>
        <v>2000</v>
      </c>
      <c r="F41" s="1" t="s">
        <v>224</v>
      </c>
      <c r="G41" s="1">
        <f t="shared" si="2"/>
        <v>58700000</v>
      </c>
      <c r="H41" s="1" t="s">
        <v>225</v>
      </c>
      <c r="I41" s="1">
        <f t="shared" si="3"/>
        <v>975100</v>
      </c>
      <c r="J41" s="4">
        <v>0.0041</v>
      </c>
      <c r="K41" s="1" t="s">
        <v>226</v>
      </c>
      <c r="L41" s="1">
        <f t="shared" si="4"/>
        <v>304700</v>
      </c>
      <c r="M41" s="1" t="s">
        <v>227</v>
      </c>
      <c r="N41" s="1">
        <f t="shared" si="5"/>
        <v>1900000000</v>
      </c>
      <c r="O41" s="1" t="s">
        <v>28</v>
      </c>
    </row>
    <row r="42">
      <c r="A42" s="1">
        <v>41.0</v>
      </c>
      <c r="B42" s="1" t="s">
        <v>228</v>
      </c>
      <c r="C42" s="1">
        <v>86.0</v>
      </c>
      <c r="D42" s="3" t="s">
        <v>83</v>
      </c>
      <c r="E42" s="2">
        <f t="shared" si="1"/>
        <v>10000</v>
      </c>
      <c r="F42" s="1" t="s">
        <v>229</v>
      </c>
      <c r="G42" s="1">
        <f t="shared" si="2"/>
        <v>58100000</v>
      </c>
      <c r="H42" s="1" t="s">
        <v>230</v>
      </c>
      <c r="I42" s="1">
        <f t="shared" si="3"/>
        <v>203700</v>
      </c>
      <c r="J42" s="4">
        <v>0.0017</v>
      </c>
      <c r="K42" s="1" t="s">
        <v>231</v>
      </c>
      <c r="L42" s="1">
        <f t="shared" si="4"/>
        <v>125800</v>
      </c>
      <c r="M42" s="1" t="s">
        <v>232</v>
      </c>
      <c r="N42" s="1">
        <f t="shared" si="5"/>
        <v>2000000000</v>
      </c>
      <c r="O42" s="1" t="s">
        <v>28</v>
      </c>
    </row>
    <row r="43">
      <c r="A43" s="1">
        <v>42.0</v>
      </c>
      <c r="B43" s="1" t="s">
        <v>233</v>
      </c>
      <c r="C43" s="1">
        <v>85.0</v>
      </c>
      <c r="D43" s="3" t="s">
        <v>16</v>
      </c>
      <c r="E43" s="2">
        <f t="shared" si="1"/>
        <v>3300</v>
      </c>
      <c r="F43" s="1" t="s">
        <v>229</v>
      </c>
      <c r="G43" s="1">
        <f t="shared" si="2"/>
        <v>58100000</v>
      </c>
      <c r="H43" s="1" t="s">
        <v>234</v>
      </c>
      <c r="I43" s="1">
        <f t="shared" si="3"/>
        <v>2500000</v>
      </c>
      <c r="J43" s="4">
        <v>0.0256</v>
      </c>
      <c r="K43" s="1" t="s">
        <v>44</v>
      </c>
      <c r="L43" s="1">
        <f t="shared" si="4"/>
        <v>1900000</v>
      </c>
      <c r="M43" s="1" t="s">
        <v>235</v>
      </c>
      <c r="N43" s="1">
        <f t="shared" si="5"/>
        <v>8200000000</v>
      </c>
      <c r="O43" s="1" t="s">
        <v>28</v>
      </c>
    </row>
    <row r="44">
      <c r="A44" s="1">
        <v>43.0</v>
      </c>
      <c r="B44" s="1" t="s">
        <v>236</v>
      </c>
      <c r="C44" s="1">
        <v>86.0</v>
      </c>
      <c r="D44" s="3" t="s">
        <v>237</v>
      </c>
      <c r="E44" s="2">
        <f t="shared" si="1"/>
        <v>1500</v>
      </c>
      <c r="F44" s="1" t="s">
        <v>238</v>
      </c>
      <c r="G44" s="1">
        <f t="shared" si="2"/>
        <v>57600000</v>
      </c>
      <c r="H44" s="1" t="s">
        <v>165</v>
      </c>
      <c r="I44" s="1">
        <f t="shared" si="3"/>
        <v>1200000</v>
      </c>
      <c r="J44" s="4">
        <v>0.0046</v>
      </c>
      <c r="K44" s="1" t="s">
        <v>239</v>
      </c>
      <c r="L44" s="1">
        <f t="shared" si="4"/>
        <v>340900</v>
      </c>
      <c r="M44" s="1" t="s">
        <v>227</v>
      </c>
      <c r="N44" s="1">
        <f t="shared" si="5"/>
        <v>1900000000</v>
      </c>
      <c r="O44" s="1" t="s">
        <v>28</v>
      </c>
    </row>
    <row r="45">
      <c r="A45" s="1">
        <v>44.0</v>
      </c>
      <c r="B45" s="1" t="s">
        <v>240</v>
      </c>
      <c r="C45" s="1">
        <v>81.0</v>
      </c>
      <c r="D45" s="3" t="s">
        <v>241</v>
      </c>
      <c r="E45" s="2">
        <f t="shared" si="1"/>
        <v>1900</v>
      </c>
      <c r="F45" s="1" t="s">
        <v>242</v>
      </c>
      <c r="G45" s="1">
        <f t="shared" si="2"/>
        <v>56900000</v>
      </c>
      <c r="H45" s="1" t="s">
        <v>215</v>
      </c>
      <c r="I45" s="1">
        <f t="shared" si="3"/>
        <v>1600000</v>
      </c>
      <c r="J45" s="4">
        <v>0.0117</v>
      </c>
      <c r="K45" s="1" t="s">
        <v>243</v>
      </c>
      <c r="L45" s="1">
        <f t="shared" si="4"/>
        <v>859900</v>
      </c>
      <c r="M45" s="1" t="s">
        <v>87</v>
      </c>
      <c r="N45" s="1">
        <f t="shared" si="5"/>
        <v>3000000000</v>
      </c>
      <c r="O45" s="1" t="s">
        <v>28</v>
      </c>
    </row>
    <row r="46">
      <c r="A46" s="1">
        <v>45.0</v>
      </c>
      <c r="B46" s="1" t="s">
        <v>244</v>
      </c>
      <c r="C46" s="1">
        <v>88.0</v>
      </c>
      <c r="D46" s="3" t="s">
        <v>245</v>
      </c>
      <c r="E46" s="2">
        <f t="shared" si="1"/>
        <v>2900</v>
      </c>
      <c r="F46" s="1" t="s">
        <v>246</v>
      </c>
      <c r="G46" s="1">
        <f t="shared" si="2"/>
        <v>55900000</v>
      </c>
      <c r="H46" s="1" t="s">
        <v>247</v>
      </c>
      <c r="I46" s="1">
        <f t="shared" si="3"/>
        <v>147000</v>
      </c>
      <c r="J46" s="4">
        <v>4.0E-4</v>
      </c>
      <c r="K46" s="1" t="s">
        <v>248</v>
      </c>
      <c r="L46" s="1">
        <f t="shared" si="4"/>
        <v>29800</v>
      </c>
      <c r="M46" s="1" t="s">
        <v>249</v>
      </c>
      <c r="N46" s="1">
        <f t="shared" si="5"/>
        <v>423500000</v>
      </c>
      <c r="O46" s="1" t="s">
        <v>28</v>
      </c>
    </row>
    <row r="47">
      <c r="A47" s="1">
        <v>46.0</v>
      </c>
      <c r="B47" s="1" t="s">
        <v>250</v>
      </c>
      <c r="C47" s="1">
        <v>86.0</v>
      </c>
      <c r="D47" s="3" t="s">
        <v>121</v>
      </c>
      <c r="E47" s="2">
        <f t="shared" si="1"/>
        <v>1200</v>
      </c>
      <c r="F47" s="1" t="s">
        <v>251</v>
      </c>
      <c r="G47" s="1">
        <f t="shared" si="2"/>
        <v>55600000</v>
      </c>
      <c r="H47" s="1" t="s">
        <v>234</v>
      </c>
      <c r="I47" s="1">
        <f t="shared" si="3"/>
        <v>2500000</v>
      </c>
      <c r="J47" s="4">
        <v>0.0216</v>
      </c>
      <c r="K47" s="1" t="s">
        <v>215</v>
      </c>
      <c r="L47" s="1">
        <f t="shared" si="4"/>
        <v>1600000</v>
      </c>
      <c r="M47" s="1" t="s">
        <v>252</v>
      </c>
      <c r="N47" s="1">
        <f t="shared" si="5"/>
        <v>2800000000</v>
      </c>
      <c r="O47" s="1" t="s">
        <v>28</v>
      </c>
    </row>
    <row r="48">
      <c r="A48" s="1">
        <v>47.0</v>
      </c>
      <c r="B48" s="1" t="s">
        <v>253</v>
      </c>
      <c r="C48" s="1">
        <v>84.0</v>
      </c>
      <c r="D48" s="3" t="s">
        <v>163</v>
      </c>
      <c r="E48" s="2">
        <f t="shared" si="1"/>
        <v>2300</v>
      </c>
      <c r="F48" s="1" t="s">
        <v>254</v>
      </c>
      <c r="G48" s="1">
        <f t="shared" si="2"/>
        <v>55200000</v>
      </c>
      <c r="H48" s="1" t="s">
        <v>73</v>
      </c>
      <c r="I48" s="1">
        <f t="shared" si="3"/>
        <v>1500000</v>
      </c>
      <c r="J48" s="4">
        <v>0.0054</v>
      </c>
      <c r="K48" s="1" t="s">
        <v>255</v>
      </c>
      <c r="L48" s="1">
        <f t="shared" si="4"/>
        <v>370100</v>
      </c>
      <c r="M48" s="1" t="s">
        <v>256</v>
      </c>
      <c r="N48" s="1">
        <f t="shared" si="5"/>
        <v>3500000000</v>
      </c>
      <c r="O48" s="1" t="s">
        <v>257</v>
      </c>
    </row>
    <row r="49">
      <c r="A49" s="1">
        <v>48.0</v>
      </c>
      <c r="B49" s="1" t="s">
        <v>258</v>
      </c>
      <c r="C49" s="1">
        <v>87.0</v>
      </c>
      <c r="D49" s="3" t="s">
        <v>259</v>
      </c>
      <c r="E49" s="2">
        <f t="shared" si="1"/>
        <v>12900</v>
      </c>
      <c r="F49" s="1" t="s">
        <v>260</v>
      </c>
      <c r="G49" s="1">
        <f t="shared" si="2"/>
        <v>55100000</v>
      </c>
      <c r="H49" s="1" t="s">
        <v>261</v>
      </c>
      <c r="I49" s="1">
        <f t="shared" si="3"/>
        <v>370800</v>
      </c>
      <c r="J49" s="4">
        <v>0.0028</v>
      </c>
      <c r="K49" s="1" t="s">
        <v>262</v>
      </c>
      <c r="L49" s="1">
        <f t="shared" si="4"/>
        <v>196900</v>
      </c>
      <c r="M49" s="1" t="s">
        <v>263</v>
      </c>
      <c r="N49" s="1">
        <f t="shared" si="5"/>
        <v>4800000000</v>
      </c>
      <c r="O49" s="1" t="s">
        <v>28</v>
      </c>
    </row>
    <row r="50">
      <c r="A50" s="1">
        <v>49.0</v>
      </c>
      <c r="B50" s="1" t="s">
        <v>264</v>
      </c>
      <c r="C50" s="1">
        <v>83.0</v>
      </c>
      <c r="D50" s="3" t="s">
        <v>265</v>
      </c>
      <c r="E50" s="2">
        <f t="shared" si="1"/>
        <v>2500</v>
      </c>
      <c r="F50" s="1" t="s">
        <v>266</v>
      </c>
      <c r="G50" s="1">
        <f t="shared" si="2"/>
        <v>54600000</v>
      </c>
      <c r="H50" s="1" t="s">
        <v>50</v>
      </c>
      <c r="I50" s="1">
        <f t="shared" si="3"/>
        <v>3500000</v>
      </c>
      <c r="J50" s="4">
        <v>0.0287</v>
      </c>
      <c r="K50" s="1" t="s">
        <v>63</v>
      </c>
      <c r="L50" s="1">
        <f t="shared" si="4"/>
        <v>2000000</v>
      </c>
      <c r="M50" s="1" t="s">
        <v>267</v>
      </c>
      <c r="N50" s="1">
        <f t="shared" si="5"/>
        <v>8800000000</v>
      </c>
      <c r="O50" s="1" t="s">
        <v>75</v>
      </c>
    </row>
    <row r="51">
      <c r="A51" s="1">
        <v>50.0</v>
      </c>
      <c r="B51" s="1" t="s">
        <v>268</v>
      </c>
      <c r="C51" s="1">
        <v>76.0</v>
      </c>
      <c r="D51" s="3" t="s">
        <v>269</v>
      </c>
      <c r="E51" s="2">
        <f t="shared" si="1"/>
        <v>860</v>
      </c>
      <c r="F51" s="1" t="s">
        <v>270</v>
      </c>
      <c r="G51" s="1">
        <f t="shared" si="2"/>
        <v>54500000</v>
      </c>
      <c r="H51" s="1" t="s">
        <v>80</v>
      </c>
      <c r="I51" s="1">
        <f t="shared" si="3"/>
        <v>5100000</v>
      </c>
      <c r="J51" s="4">
        <v>0.0836</v>
      </c>
      <c r="K51" s="1" t="s">
        <v>271</v>
      </c>
      <c r="L51" s="1">
        <f t="shared" si="4"/>
        <v>5700000</v>
      </c>
      <c r="M51" s="1" t="s">
        <v>272</v>
      </c>
      <c r="N51" s="1">
        <f t="shared" si="5"/>
        <v>4400000000</v>
      </c>
      <c r="O51" s="1" t="s">
        <v>28</v>
      </c>
    </row>
    <row r="52">
      <c r="A52" s="1">
        <v>51.0</v>
      </c>
      <c r="B52" s="1" t="s">
        <v>273</v>
      </c>
      <c r="C52" s="1">
        <v>85.0</v>
      </c>
      <c r="D52" s="3" t="s">
        <v>274</v>
      </c>
      <c r="E52" s="2">
        <f t="shared" si="1"/>
        <v>540</v>
      </c>
      <c r="F52" s="1" t="s">
        <v>270</v>
      </c>
      <c r="G52" s="1">
        <f t="shared" si="2"/>
        <v>54500000</v>
      </c>
      <c r="H52" s="1" t="s">
        <v>51</v>
      </c>
      <c r="I52" s="1">
        <f t="shared" si="3"/>
        <v>2900000</v>
      </c>
      <c r="J52" s="4">
        <v>0.0301</v>
      </c>
      <c r="K52" s="1" t="s">
        <v>63</v>
      </c>
      <c r="L52" s="1">
        <f t="shared" si="4"/>
        <v>2000000</v>
      </c>
      <c r="M52" s="1" t="s">
        <v>124</v>
      </c>
      <c r="N52" s="1">
        <f t="shared" si="5"/>
        <v>1600000000</v>
      </c>
      <c r="O52" s="1" t="s">
        <v>257</v>
      </c>
    </row>
    <row r="53">
      <c r="A53" s="1">
        <v>52.0</v>
      </c>
      <c r="B53" s="1" t="s">
        <v>275</v>
      </c>
      <c r="C53" s="1">
        <v>82.0</v>
      </c>
      <c r="D53" s="3" t="s">
        <v>36</v>
      </c>
      <c r="E53" s="2">
        <f t="shared" si="1"/>
        <v>1800</v>
      </c>
      <c r="F53" s="1" t="s">
        <v>276</v>
      </c>
      <c r="G53" s="1">
        <f t="shared" si="2"/>
        <v>54100000</v>
      </c>
      <c r="H53" s="1" t="s">
        <v>117</v>
      </c>
      <c r="I53" s="1">
        <f t="shared" si="3"/>
        <v>1800000</v>
      </c>
      <c r="J53" s="4">
        <v>0.0314</v>
      </c>
      <c r="K53" s="1" t="s">
        <v>112</v>
      </c>
      <c r="L53" s="1">
        <f t="shared" si="4"/>
        <v>2100000</v>
      </c>
      <c r="M53" s="1" t="s">
        <v>277</v>
      </c>
      <c r="N53" s="1">
        <f t="shared" si="5"/>
        <v>3300000000</v>
      </c>
      <c r="O53" s="1" t="s">
        <v>257</v>
      </c>
    </row>
    <row r="54">
      <c r="A54" s="1">
        <v>53.0</v>
      </c>
      <c r="B54" s="1" t="s">
        <v>278</v>
      </c>
      <c r="C54" s="1">
        <v>83.0</v>
      </c>
      <c r="D54" s="3" t="s">
        <v>279</v>
      </c>
      <c r="E54" s="2">
        <f t="shared" si="1"/>
        <v>260</v>
      </c>
      <c r="F54" s="1" t="s">
        <v>280</v>
      </c>
      <c r="G54" s="1">
        <f t="shared" si="2"/>
        <v>53900000</v>
      </c>
      <c r="H54" s="1" t="s">
        <v>215</v>
      </c>
      <c r="I54" s="1">
        <f t="shared" si="3"/>
        <v>1600000</v>
      </c>
      <c r="J54" s="4">
        <v>0.0223</v>
      </c>
      <c r="K54" s="1" t="s">
        <v>73</v>
      </c>
      <c r="L54" s="1">
        <f t="shared" si="4"/>
        <v>1500000</v>
      </c>
      <c r="M54" s="1" t="s">
        <v>281</v>
      </c>
      <c r="N54" s="1">
        <f t="shared" si="5"/>
        <v>419000000</v>
      </c>
      <c r="O54" s="1" t="s">
        <v>257</v>
      </c>
    </row>
    <row r="55">
      <c r="A55" s="1">
        <v>54.0</v>
      </c>
      <c r="B55" s="1" t="s">
        <v>282</v>
      </c>
      <c r="C55" s="1">
        <v>77.0</v>
      </c>
      <c r="D55" s="3" t="s">
        <v>121</v>
      </c>
      <c r="E55" s="2">
        <f t="shared" si="1"/>
        <v>1200</v>
      </c>
      <c r="F55" s="1" t="s">
        <v>283</v>
      </c>
      <c r="G55" s="1">
        <f t="shared" si="2"/>
        <v>53500000</v>
      </c>
      <c r="H55" s="1" t="s">
        <v>284</v>
      </c>
      <c r="I55" s="1">
        <f t="shared" si="3"/>
        <v>5400000</v>
      </c>
      <c r="J55" s="4">
        <v>0.1083</v>
      </c>
      <c r="K55" s="1" t="s">
        <v>285</v>
      </c>
      <c r="L55" s="1">
        <f t="shared" si="4"/>
        <v>7300000</v>
      </c>
      <c r="M55" s="1" t="s">
        <v>286</v>
      </c>
      <c r="N55" s="1">
        <f t="shared" si="5"/>
        <v>6600000000</v>
      </c>
      <c r="O55" s="1" t="s">
        <v>28</v>
      </c>
    </row>
    <row r="56">
      <c r="A56" s="1">
        <v>55.0</v>
      </c>
      <c r="B56" s="1" t="s">
        <v>287</v>
      </c>
      <c r="C56" s="1">
        <v>78.0</v>
      </c>
      <c r="D56" s="3" t="s">
        <v>245</v>
      </c>
      <c r="E56" s="2">
        <f t="shared" si="1"/>
        <v>2900</v>
      </c>
      <c r="F56" s="1" t="s">
        <v>288</v>
      </c>
      <c r="G56" s="1">
        <f t="shared" si="2"/>
        <v>53400000</v>
      </c>
      <c r="H56" s="1" t="s">
        <v>289</v>
      </c>
      <c r="I56" s="1">
        <f t="shared" si="3"/>
        <v>872900</v>
      </c>
      <c r="J56" s="4">
        <v>0.0049</v>
      </c>
      <c r="K56" s="1" t="s">
        <v>290</v>
      </c>
      <c r="L56" s="1">
        <f t="shared" si="4"/>
        <v>325700</v>
      </c>
      <c r="M56" s="1" t="s">
        <v>199</v>
      </c>
      <c r="N56" s="1">
        <f t="shared" si="5"/>
        <v>2600000000</v>
      </c>
      <c r="O56" s="1" t="s">
        <v>130</v>
      </c>
    </row>
    <row r="57">
      <c r="A57" s="1">
        <v>56.0</v>
      </c>
      <c r="B57" s="1" t="s">
        <v>291</v>
      </c>
      <c r="C57" s="1">
        <v>87.0</v>
      </c>
      <c r="D57" s="3" t="s">
        <v>292</v>
      </c>
      <c r="E57" s="2">
        <f t="shared" si="1"/>
        <v>340</v>
      </c>
      <c r="F57" s="1" t="s">
        <v>288</v>
      </c>
      <c r="G57" s="1">
        <f t="shared" si="2"/>
        <v>53400000</v>
      </c>
      <c r="H57" s="1" t="s">
        <v>44</v>
      </c>
      <c r="I57" s="1">
        <f t="shared" si="3"/>
        <v>1900000</v>
      </c>
      <c r="J57" s="4">
        <v>1.0E-4</v>
      </c>
      <c r="K57" s="1">
        <v>0.0</v>
      </c>
      <c r="L57" s="1">
        <f t="shared" si="4"/>
        <v>0</v>
      </c>
      <c r="M57" s="1" t="s">
        <v>293</v>
      </c>
      <c r="N57" s="1">
        <f t="shared" si="5"/>
        <v>639000000</v>
      </c>
      <c r="O57" s="1" t="s">
        <v>28</v>
      </c>
    </row>
    <row r="58">
      <c r="A58" s="1">
        <v>57.0</v>
      </c>
      <c r="B58" s="1" t="s">
        <v>294</v>
      </c>
      <c r="C58" s="1">
        <v>78.0</v>
      </c>
      <c r="D58" s="3" t="s">
        <v>121</v>
      </c>
      <c r="E58" s="2">
        <f t="shared" si="1"/>
        <v>1200</v>
      </c>
      <c r="F58" s="1" t="s">
        <v>295</v>
      </c>
      <c r="G58" s="1">
        <f t="shared" si="2"/>
        <v>53200000</v>
      </c>
      <c r="H58" s="1" t="s">
        <v>296</v>
      </c>
      <c r="I58" s="1">
        <f t="shared" si="3"/>
        <v>4100000</v>
      </c>
      <c r="J58" s="4">
        <v>0.054</v>
      </c>
      <c r="K58" s="1" t="s">
        <v>62</v>
      </c>
      <c r="L58" s="1">
        <f t="shared" si="4"/>
        <v>3600000</v>
      </c>
      <c r="M58" s="1" t="s">
        <v>108</v>
      </c>
      <c r="N58" s="1">
        <f t="shared" si="5"/>
        <v>4900000000</v>
      </c>
      <c r="O58" s="1" t="s">
        <v>297</v>
      </c>
    </row>
    <row r="59">
      <c r="A59" s="1">
        <v>58.0</v>
      </c>
      <c r="B59" s="1" t="s">
        <v>298</v>
      </c>
      <c r="C59" s="1">
        <v>85.0</v>
      </c>
      <c r="D59" s="3" t="s">
        <v>299</v>
      </c>
      <c r="E59" s="2">
        <f t="shared" si="1"/>
        <v>1000</v>
      </c>
      <c r="F59" s="1" t="s">
        <v>300</v>
      </c>
      <c r="G59" s="1">
        <f t="shared" si="2"/>
        <v>53000000</v>
      </c>
      <c r="H59" s="1" t="s">
        <v>102</v>
      </c>
      <c r="I59" s="1">
        <f t="shared" si="3"/>
        <v>1700000</v>
      </c>
      <c r="J59" s="4">
        <v>0.0225</v>
      </c>
      <c r="K59" s="1" t="s">
        <v>73</v>
      </c>
      <c r="L59" s="1">
        <f t="shared" si="4"/>
        <v>1500000</v>
      </c>
      <c r="M59" s="1" t="s">
        <v>301</v>
      </c>
      <c r="N59" s="1">
        <f t="shared" si="5"/>
        <v>1700000000</v>
      </c>
      <c r="O59" s="1" t="s">
        <v>257</v>
      </c>
    </row>
    <row r="60">
      <c r="A60" s="1">
        <v>59.0</v>
      </c>
      <c r="B60" s="1" t="s">
        <v>302</v>
      </c>
      <c r="C60" s="1">
        <v>82.0</v>
      </c>
      <c r="D60" s="3" t="s">
        <v>303</v>
      </c>
      <c r="E60" s="2">
        <f t="shared" si="1"/>
        <v>7000</v>
      </c>
      <c r="F60" s="1" t="s">
        <v>304</v>
      </c>
      <c r="G60" s="1">
        <f t="shared" si="2"/>
        <v>52800000</v>
      </c>
      <c r="H60" s="1" t="s">
        <v>305</v>
      </c>
      <c r="I60" s="1">
        <f t="shared" si="3"/>
        <v>332300</v>
      </c>
      <c r="J60" s="4">
        <v>0.0051</v>
      </c>
      <c r="K60" s="1" t="s">
        <v>306</v>
      </c>
      <c r="L60" s="1">
        <f t="shared" si="4"/>
        <v>339000</v>
      </c>
      <c r="M60" s="1" t="s">
        <v>205</v>
      </c>
      <c r="N60" s="1">
        <f t="shared" si="5"/>
        <v>2300000000</v>
      </c>
      <c r="O60" s="1" t="s">
        <v>307</v>
      </c>
    </row>
    <row r="61">
      <c r="A61" s="1">
        <v>60.0</v>
      </c>
      <c r="B61" s="1" t="s">
        <v>308</v>
      </c>
      <c r="C61" s="1">
        <v>87.0</v>
      </c>
      <c r="D61" s="3" t="s">
        <v>309</v>
      </c>
      <c r="E61" s="2">
        <f t="shared" si="1"/>
        <v>780</v>
      </c>
      <c r="F61" s="1" t="s">
        <v>304</v>
      </c>
      <c r="G61" s="1">
        <f t="shared" si="2"/>
        <v>52800000</v>
      </c>
      <c r="H61" s="1" t="s">
        <v>310</v>
      </c>
      <c r="I61" s="1">
        <f t="shared" si="3"/>
        <v>600400</v>
      </c>
      <c r="J61" s="4">
        <v>0.003</v>
      </c>
      <c r="K61" s="1" t="s">
        <v>311</v>
      </c>
      <c r="L61" s="1">
        <f t="shared" si="4"/>
        <v>189400</v>
      </c>
      <c r="M61" s="1" t="s">
        <v>312</v>
      </c>
      <c r="N61" s="1">
        <f t="shared" si="5"/>
        <v>470700000</v>
      </c>
      <c r="O61" s="1" t="s">
        <v>28</v>
      </c>
    </row>
    <row r="62">
      <c r="A62" s="1">
        <v>61.0</v>
      </c>
      <c r="B62" s="1" t="s">
        <v>313</v>
      </c>
      <c r="C62" s="1">
        <v>77.0</v>
      </c>
      <c r="D62" s="3" t="s">
        <v>245</v>
      </c>
      <c r="E62" s="2">
        <f t="shared" si="1"/>
        <v>2900</v>
      </c>
      <c r="F62" s="1" t="s">
        <v>314</v>
      </c>
      <c r="G62" s="1">
        <f t="shared" si="2"/>
        <v>52500000</v>
      </c>
      <c r="H62" s="1" t="s">
        <v>44</v>
      </c>
      <c r="I62" s="1">
        <f t="shared" si="3"/>
        <v>1900000</v>
      </c>
      <c r="J62" s="4">
        <v>0.0219</v>
      </c>
      <c r="K62" s="1" t="s">
        <v>103</v>
      </c>
      <c r="L62" s="1">
        <f t="shared" si="4"/>
        <v>1400000</v>
      </c>
      <c r="M62" s="1" t="s">
        <v>315</v>
      </c>
      <c r="N62" s="1">
        <f t="shared" si="5"/>
        <v>5400000000</v>
      </c>
      <c r="O62" s="1" t="s">
        <v>28</v>
      </c>
    </row>
    <row r="63">
      <c r="A63" s="1">
        <v>62.0</v>
      </c>
      <c r="B63" s="1" t="s">
        <v>316</v>
      </c>
      <c r="C63" s="1">
        <v>82.0</v>
      </c>
      <c r="D63" s="3" t="s">
        <v>106</v>
      </c>
      <c r="E63" s="2">
        <f t="shared" si="1"/>
        <v>1400</v>
      </c>
      <c r="F63" s="1" t="s">
        <v>317</v>
      </c>
      <c r="G63" s="1">
        <f t="shared" si="2"/>
        <v>52400000</v>
      </c>
      <c r="H63" s="1" t="s">
        <v>103</v>
      </c>
      <c r="I63" s="1">
        <f t="shared" si="3"/>
        <v>1400000</v>
      </c>
      <c r="J63" s="4">
        <v>2.0E-4</v>
      </c>
      <c r="K63" s="1">
        <v>0.0</v>
      </c>
      <c r="L63" s="1">
        <f t="shared" si="4"/>
        <v>0</v>
      </c>
      <c r="M63" s="1" t="s">
        <v>227</v>
      </c>
      <c r="N63" s="1">
        <f t="shared" si="5"/>
        <v>1900000000</v>
      </c>
      <c r="O63" s="1" t="s">
        <v>28</v>
      </c>
    </row>
    <row r="64">
      <c r="A64" s="1">
        <v>63.0</v>
      </c>
      <c r="B64" s="1" t="s">
        <v>318</v>
      </c>
      <c r="C64" s="1">
        <v>83.0</v>
      </c>
      <c r="D64" s="3" t="s">
        <v>319</v>
      </c>
      <c r="E64" s="2">
        <f t="shared" si="1"/>
        <v>17500</v>
      </c>
      <c r="F64" s="1" t="s">
        <v>320</v>
      </c>
      <c r="G64" s="1">
        <f t="shared" si="2"/>
        <v>51200000</v>
      </c>
      <c r="H64" s="1" t="s">
        <v>321</v>
      </c>
      <c r="I64" s="1">
        <f t="shared" si="3"/>
        <v>386900</v>
      </c>
      <c r="J64" s="4">
        <v>0.0058</v>
      </c>
      <c r="K64" s="1" t="s">
        <v>322</v>
      </c>
      <c r="L64" s="1">
        <f t="shared" si="4"/>
        <v>366600</v>
      </c>
      <c r="M64" s="1" t="s">
        <v>175</v>
      </c>
      <c r="N64" s="1">
        <f t="shared" si="5"/>
        <v>6800000000</v>
      </c>
      <c r="O64" s="1" t="s">
        <v>323</v>
      </c>
    </row>
    <row r="65">
      <c r="A65" s="1">
        <v>64.0</v>
      </c>
      <c r="B65" s="1" t="s">
        <v>324</v>
      </c>
      <c r="C65" s="1">
        <v>82.0</v>
      </c>
      <c r="D65" s="3" t="s">
        <v>325</v>
      </c>
      <c r="E65" s="2">
        <f t="shared" si="1"/>
        <v>5100</v>
      </c>
      <c r="F65" s="1" t="s">
        <v>326</v>
      </c>
      <c r="G65" s="1">
        <f t="shared" si="2"/>
        <v>50800000</v>
      </c>
      <c r="H65" s="1" t="s">
        <v>327</v>
      </c>
      <c r="I65" s="1">
        <f t="shared" si="3"/>
        <v>855500</v>
      </c>
      <c r="J65" s="4">
        <v>0.0069</v>
      </c>
      <c r="K65" s="1" t="s">
        <v>328</v>
      </c>
      <c r="L65" s="1">
        <f t="shared" si="4"/>
        <v>426200</v>
      </c>
      <c r="M65" s="1" t="s">
        <v>272</v>
      </c>
      <c r="N65" s="1">
        <f t="shared" si="5"/>
        <v>4400000000</v>
      </c>
      <c r="O65" s="1" t="s">
        <v>28</v>
      </c>
    </row>
    <row r="66">
      <c r="A66" s="1">
        <v>65.0</v>
      </c>
      <c r="B66" s="1" t="s">
        <v>329</v>
      </c>
      <c r="C66" s="1">
        <v>82.0</v>
      </c>
      <c r="D66" s="3" t="s">
        <v>330</v>
      </c>
      <c r="E66" s="2">
        <f t="shared" si="1"/>
        <v>830</v>
      </c>
      <c r="F66" s="1" t="s">
        <v>331</v>
      </c>
      <c r="G66" s="1">
        <f t="shared" si="2"/>
        <v>50700000</v>
      </c>
      <c r="H66" s="1" t="s">
        <v>332</v>
      </c>
      <c r="I66" s="1">
        <f t="shared" si="3"/>
        <v>4500000</v>
      </c>
      <c r="J66" s="4">
        <v>0.0943</v>
      </c>
      <c r="K66" s="1" t="s">
        <v>26</v>
      </c>
      <c r="L66" s="1">
        <f t="shared" si="4"/>
        <v>5900000</v>
      </c>
      <c r="M66" s="1" t="s">
        <v>333</v>
      </c>
      <c r="N66" s="1">
        <f t="shared" si="5"/>
        <v>3800000000</v>
      </c>
      <c r="O66" s="1" t="s">
        <v>28</v>
      </c>
    </row>
    <row r="67">
      <c r="A67" s="1">
        <v>66.0</v>
      </c>
      <c r="B67" s="1" t="s">
        <v>334</v>
      </c>
      <c r="C67" s="1">
        <v>84.0</v>
      </c>
      <c r="D67" s="3" t="s">
        <v>137</v>
      </c>
      <c r="E67" s="2">
        <f t="shared" si="1"/>
        <v>8200</v>
      </c>
      <c r="F67" s="1" t="s">
        <v>331</v>
      </c>
      <c r="G67" s="1">
        <f t="shared" si="2"/>
        <v>50700000</v>
      </c>
      <c r="H67" s="1" t="s">
        <v>165</v>
      </c>
      <c r="I67" s="1">
        <f t="shared" si="3"/>
        <v>1200000</v>
      </c>
      <c r="J67" s="4">
        <v>0.0112</v>
      </c>
      <c r="K67" s="1" t="s">
        <v>335</v>
      </c>
      <c r="L67" s="1">
        <f t="shared" si="4"/>
        <v>696300</v>
      </c>
      <c r="M67" s="1" t="s">
        <v>69</v>
      </c>
      <c r="N67" s="1">
        <f t="shared" si="5"/>
        <v>9800000000</v>
      </c>
      <c r="O67" s="1" t="s">
        <v>336</v>
      </c>
    </row>
    <row r="68">
      <c r="A68" s="1">
        <v>67.0</v>
      </c>
      <c r="B68" s="1" t="s">
        <v>337</v>
      </c>
      <c r="C68" s="1">
        <v>85.0</v>
      </c>
      <c r="D68" s="3" t="s">
        <v>241</v>
      </c>
      <c r="E68" s="2">
        <f t="shared" si="1"/>
        <v>1900</v>
      </c>
      <c r="F68" s="1" t="s">
        <v>338</v>
      </c>
      <c r="G68" s="1">
        <f t="shared" si="2"/>
        <v>50200000</v>
      </c>
      <c r="H68" s="1" t="s">
        <v>73</v>
      </c>
      <c r="I68" s="1">
        <f t="shared" si="3"/>
        <v>1500000</v>
      </c>
      <c r="J68" s="4">
        <v>0.0101</v>
      </c>
      <c r="K68" s="1" t="s">
        <v>339</v>
      </c>
      <c r="L68" s="1">
        <f t="shared" si="4"/>
        <v>624900</v>
      </c>
      <c r="M68" s="1" t="s">
        <v>340</v>
      </c>
      <c r="N68" s="1">
        <f t="shared" si="5"/>
        <v>2900000000</v>
      </c>
      <c r="O68" s="1" t="s">
        <v>28</v>
      </c>
    </row>
    <row r="69">
      <c r="A69" s="1">
        <v>68.0</v>
      </c>
      <c r="B69" s="1" t="s">
        <v>341</v>
      </c>
      <c r="C69" s="1">
        <v>85.0</v>
      </c>
      <c r="D69" s="3" t="s">
        <v>342</v>
      </c>
      <c r="E69" s="2">
        <f t="shared" si="1"/>
        <v>2400</v>
      </c>
      <c r="F69" s="1" t="s">
        <v>343</v>
      </c>
      <c r="G69" s="1">
        <f t="shared" si="2"/>
        <v>49900000</v>
      </c>
      <c r="H69" s="1" t="s">
        <v>155</v>
      </c>
      <c r="I69" s="1">
        <f t="shared" si="3"/>
        <v>1100000</v>
      </c>
      <c r="J69" s="4">
        <v>0.0115</v>
      </c>
      <c r="K69" s="1" t="s">
        <v>344</v>
      </c>
      <c r="L69" s="1">
        <f t="shared" si="4"/>
        <v>718800</v>
      </c>
      <c r="M69" s="1" t="s">
        <v>252</v>
      </c>
      <c r="N69" s="1">
        <f t="shared" si="5"/>
        <v>2800000000</v>
      </c>
      <c r="O69" s="1" t="s">
        <v>257</v>
      </c>
    </row>
    <row r="70">
      <c r="A70" s="1">
        <v>69.0</v>
      </c>
      <c r="B70" s="1" t="s">
        <v>345</v>
      </c>
      <c r="C70" s="1">
        <v>86.0</v>
      </c>
      <c r="D70" s="3" t="s">
        <v>83</v>
      </c>
      <c r="E70" s="2">
        <f t="shared" si="1"/>
        <v>10000</v>
      </c>
      <c r="F70" s="1" t="s">
        <v>346</v>
      </c>
      <c r="G70" s="1">
        <f t="shared" si="2"/>
        <v>49700000</v>
      </c>
      <c r="H70" s="1" t="s">
        <v>347</v>
      </c>
      <c r="I70" s="1">
        <f t="shared" si="3"/>
        <v>500500</v>
      </c>
      <c r="J70" s="4">
        <v>0.0052</v>
      </c>
      <c r="K70" s="1" t="s">
        <v>348</v>
      </c>
      <c r="L70" s="1">
        <f t="shared" si="4"/>
        <v>322200</v>
      </c>
      <c r="M70" s="1" t="s">
        <v>151</v>
      </c>
      <c r="N70" s="1">
        <f t="shared" si="5"/>
        <v>5000000000</v>
      </c>
      <c r="O70" s="1" t="s">
        <v>349</v>
      </c>
    </row>
    <row r="71">
      <c r="A71" s="1">
        <v>70.0</v>
      </c>
      <c r="B71" s="1" t="s">
        <v>350</v>
      </c>
      <c r="C71" s="1">
        <v>82.0</v>
      </c>
      <c r="D71" s="3" t="s">
        <v>351</v>
      </c>
      <c r="E71" s="2">
        <f t="shared" si="1"/>
        <v>820</v>
      </c>
      <c r="F71" s="1" t="s">
        <v>352</v>
      </c>
      <c r="G71" s="1">
        <f t="shared" si="2"/>
        <v>49300000</v>
      </c>
      <c r="H71" s="1" t="s">
        <v>353</v>
      </c>
      <c r="I71" s="1">
        <f t="shared" si="3"/>
        <v>4600000</v>
      </c>
      <c r="J71" s="4">
        <v>0.0972</v>
      </c>
      <c r="K71" s="1" t="s">
        <v>354</v>
      </c>
      <c r="L71" s="1">
        <f t="shared" si="4"/>
        <v>6000000</v>
      </c>
      <c r="M71" s="1" t="s">
        <v>333</v>
      </c>
      <c r="N71" s="1">
        <f t="shared" si="5"/>
        <v>3800000000</v>
      </c>
      <c r="O71" s="1" t="s">
        <v>28</v>
      </c>
    </row>
    <row r="72">
      <c r="A72" s="1">
        <v>71.0</v>
      </c>
      <c r="B72" s="1" t="s">
        <v>355</v>
      </c>
      <c r="C72" s="1">
        <v>85.0</v>
      </c>
      <c r="D72" s="3" t="s">
        <v>356</v>
      </c>
      <c r="E72" s="2">
        <f t="shared" si="1"/>
        <v>9900</v>
      </c>
      <c r="F72" s="1" t="s">
        <v>357</v>
      </c>
      <c r="G72" s="1">
        <f t="shared" si="2"/>
        <v>49200000</v>
      </c>
      <c r="H72" s="1" t="s">
        <v>358</v>
      </c>
      <c r="I72" s="1">
        <f t="shared" si="3"/>
        <v>381800</v>
      </c>
      <c r="J72" s="4">
        <v>0.0041</v>
      </c>
      <c r="K72" s="1" t="s">
        <v>359</v>
      </c>
      <c r="L72" s="1">
        <f t="shared" si="4"/>
        <v>241600</v>
      </c>
      <c r="M72" s="1" t="s">
        <v>333</v>
      </c>
      <c r="N72" s="1">
        <f t="shared" si="5"/>
        <v>3800000000</v>
      </c>
      <c r="O72" s="1" t="s">
        <v>200</v>
      </c>
    </row>
    <row r="73">
      <c r="A73" s="1">
        <v>72.0</v>
      </c>
      <c r="B73" s="1" t="s">
        <v>360</v>
      </c>
      <c r="C73" s="1">
        <v>85.0</v>
      </c>
      <c r="D73" s="3" t="s">
        <v>121</v>
      </c>
      <c r="E73" s="2">
        <f t="shared" si="1"/>
        <v>1200</v>
      </c>
      <c r="F73" s="1" t="s">
        <v>361</v>
      </c>
      <c r="G73" s="1">
        <f t="shared" si="2"/>
        <v>49100000</v>
      </c>
      <c r="H73" s="1" t="s">
        <v>44</v>
      </c>
      <c r="I73" s="1">
        <f t="shared" si="3"/>
        <v>1900000</v>
      </c>
      <c r="J73" s="4">
        <v>0.0234</v>
      </c>
      <c r="K73" s="1" t="s">
        <v>103</v>
      </c>
      <c r="L73" s="1">
        <f t="shared" si="4"/>
        <v>1400000</v>
      </c>
      <c r="M73" s="1" t="s">
        <v>362</v>
      </c>
      <c r="N73" s="1">
        <f t="shared" si="5"/>
        <v>2200000000</v>
      </c>
      <c r="O73" s="1" t="s">
        <v>28</v>
      </c>
    </row>
    <row r="74">
      <c r="A74" s="1">
        <v>73.0</v>
      </c>
      <c r="B74" s="1" t="s">
        <v>363</v>
      </c>
      <c r="C74" s="1">
        <v>79.0</v>
      </c>
      <c r="D74" s="3" t="s">
        <v>364</v>
      </c>
      <c r="E74" s="2">
        <f t="shared" si="1"/>
        <v>2700</v>
      </c>
      <c r="F74" s="1" t="s">
        <v>365</v>
      </c>
      <c r="G74" s="1">
        <f t="shared" si="2"/>
        <v>49000000</v>
      </c>
      <c r="H74" s="1" t="s">
        <v>215</v>
      </c>
      <c r="I74" s="1">
        <f t="shared" si="3"/>
        <v>1600000</v>
      </c>
      <c r="J74" s="4">
        <v>0.0058</v>
      </c>
      <c r="K74" s="1" t="s">
        <v>366</v>
      </c>
      <c r="L74" s="1">
        <f t="shared" si="4"/>
        <v>323100</v>
      </c>
      <c r="M74" s="1" t="s">
        <v>272</v>
      </c>
      <c r="N74" s="1">
        <f t="shared" si="5"/>
        <v>4400000000</v>
      </c>
      <c r="O74" s="1" t="s">
        <v>130</v>
      </c>
    </row>
    <row r="75">
      <c r="A75" s="1">
        <v>74.0</v>
      </c>
      <c r="B75" s="1" t="s">
        <v>367</v>
      </c>
      <c r="C75" s="1">
        <v>86.0</v>
      </c>
      <c r="D75" s="3" t="s">
        <v>83</v>
      </c>
      <c r="E75" s="2">
        <f t="shared" si="1"/>
        <v>10000</v>
      </c>
      <c r="F75" s="1" t="s">
        <v>368</v>
      </c>
      <c r="G75" s="1">
        <f t="shared" si="2"/>
        <v>48900000</v>
      </c>
      <c r="H75" s="1" t="s">
        <v>369</v>
      </c>
      <c r="I75" s="1">
        <f t="shared" si="3"/>
        <v>672600</v>
      </c>
      <c r="J75" s="4">
        <v>0.0044</v>
      </c>
      <c r="K75" s="1" t="s">
        <v>370</v>
      </c>
      <c r="L75" s="1">
        <f t="shared" si="4"/>
        <v>248600</v>
      </c>
      <c r="M75" s="1" t="s">
        <v>371</v>
      </c>
      <c r="N75" s="1">
        <f t="shared" si="5"/>
        <v>6700000000</v>
      </c>
      <c r="O75" s="1" t="s">
        <v>28</v>
      </c>
    </row>
    <row r="76">
      <c r="A76" s="1">
        <v>75.0</v>
      </c>
      <c r="B76" s="1" t="s">
        <v>372</v>
      </c>
      <c r="C76" s="1">
        <v>86.0</v>
      </c>
      <c r="D76" s="3" t="s">
        <v>364</v>
      </c>
      <c r="E76" s="2">
        <f t="shared" si="1"/>
        <v>2700</v>
      </c>
      <c r="F76" s="1" t="s">
        <v>373</v>
      </c>
      <c r="G76" s="1">
        <f t="shared" si="2"/>
        <v>48700000</v>
      </c>
      <c r="H76" s="1" t="s">
        <v>374</v>
      </c>
      <c r="I76" s="1">
        <f t="shared" si="3"/>
        <v>690900</v>
      </c>
      <c r="J76" s="4">
        <v>0.0078</v>
      </c>
      <c r="K76" s="1" t="s">
        <v>375</v>
      </c>
      <c r="L76" s="1">
        <f t="shared" si="4"/>
        <v>448300</v>
      </c>
      <c r="M76" s="1" t="s">
        <v>227</v>
      </c>
      <c r="N76" s="1">
        <f t="shared" si="5"/>
        <v>1900000000</v>
      </c>
      <c r="O76" s="1" t="s">
        <v>130</v>
      </c>
    </row>
    <row r="77">
      <c r="A77" s="1">
        <v>76.0</v>
      </c>
      <c r="B77" s="1" t="s">
        <v>376</v>
      </c>
      <c r="C77" s="1">
        <v>80.0</v>
      </c>
      <c r="D77" s="3" t="s">
        <v>377</v>
      </c>
      <c r="E77" s="2">
        <f t="shared" si="1"/>
        <v>280</v>
      </c>
      <c r="F77" s="1" t="s">
        <v>378</v>
      </c>
      <c r="G77" s="1">
        <f t="shared" si="2"/>
        <v>48300000</v>
      </c>
      <c r="H77" s="1" t="s">
        <v>379</v>
      </c>
      <c r="I77" s="1">
        <f t="shared" si="3"/>
        <v>4000000</v>
      </c>
      <c r="J77" s="4">
        <v>0.0863</v>
      </c>
      <c r="K77" s="1" t="s">
        <v>380</v>
      </c>
      <c r="L77" s="1">
        <f t="shared" si="4"/>
        <v>5000000</v>
      </c>
      <c r="M77" s="1" t="s">
        <v>381</v>
      </c>
      <c r="N77" s="1">
        <f t="shared" si="5"/>
        <v>1100000000</v>
      </c>
      <c r="O77" s="1" t="s">
        <v>28</v>
      </c>
    </row>
    <row r="78">
      <c r="A78" s="1">
        <v>77.0</v>
      </c>
      <c r="B78" s="1" t="s">
        <v>382</v>
      </c>
      <c r="C78" s="1">
        <v>42.0</v>
      </c>
      <c r="D78" s="3" t="s">
        <v>60</v>
      </c>
      <c r="E78" s="2">
        <f t="shared" si="1"/>
        <v>2000</v>
      </c>
      <c r="F78" s="1" t="s">
        <v>383</v>
      </c>
      <c r="G78" s="1">
        <f t="shared" si="2"/>
        <v>48200000</v>
      </c>
      <c r="H78" s="1" t="s">
        <v>384</v>
      </c>
      <c r="I78" s="1">
        <f t="shared" si="3"/>
        <v>878500</v>
      </c>
      <c r="J78" s="4">
        <v>0.0162</v>
      </c>
      <c r="K78" s="1" t="s">
        <v>385</v>
      </c>
      <c r="L78" s="1">
        <f t="shared" si="4"/>
        <v>918900</v>
      </c>
      <c r="M78" s="1" t="s">
        <v>386</v>
      </c>
      <c r="N78" s="1">
        <f t="shared" si="5"/>
        <v>1800000000</v>
      </c>
      <c r="O78" s="1" t="s">
        <v>21</v>
      </c>
    </row>
    <row r="79">
      <c r="A79" s="1">
        <v>78.0</v>
      </c>
      <c r="B79" s="1" t="s">
        <v>387</v>
      </c>
      <c r="C79" s="1">
        <v>86.0</v>
      </c>
      <c r="D79" s="3" t="s">
        <v>388</v>
      </c>
      <c r="E79" s="2">
        <f t="shared" si="1"/>
        <v>880</v>
      </c>
      <c r="F79" s="1" t="s">
        <v>383</v>
      </c>
      <c r="G79" s="1">
        <f t="shared" si="2"/>
        <v>48200000</v>
      </c>
      <c r="H79" s="1" t="s">
        <v>389</v>
      </c>
      <c r="I79" s="1">
        <f t="shared" si="3"/>
        <v>2800000</v>
      </c>
      <c r="J79" s="4">
        <v>0.0369</v>
      </c>
      <c r="K79" s="1" t="s">
        <v>112</v>
      </c>
      <c r="L79" s="1">
        <f t="shared" si="4"/>
        <v>2100000</v>
      </c>
      <c r="M79" s="1" t="s">
        <v>209</v>
      </c>
      <c r="N79" s="1">
        <f t="shared" si="5"/>
        <v>2500000000</v>
      </c>
      <c r="O79" s="1" t="s">
        <v>390</v>
      </c>
    </row>
    <row r="80">
      <c r="A80" s="1">
        <v>79.0</v>
      </c>
      <c r="B80" s="1" t="s">
        <v>391</v>
      </c>
      <c r="C80" s="1">
        <v>83.0</v>
      </c>
      <c r="D80" s="3" t="s">
        <v>16</v>
      </c>
      <c r="E80" s="2">
        <f t="shared" si="1"/>
        <v>3300</v>
      </c>
      <c r="F80" s="1" t="s">
        <v>392</v>
      </c>
      <c r="G80" s="1">
        <f t="shared" si="2"/>
        <v>48100000</v>
      </c>
      <c r="H80" s="1" t="s">
        <v>150</v>
      </c>
      <c r="I80" s="1">
        <f t="shared" si="3"/>
        <v>3100000</v>
      </c>
      <c r="J80" s="4">
        <v>0.1025</v>
      </c>
      <c r="K80" s="1" t="s">
        <v>271</v>
      </c>
      <c r="L80" s="1">
        <f t="shared" si="4"/>
        <v>5700000</v>
      </c>
      <c r="M80" s="1" t="s">
        <v>393</v>
      </c>
      <c r="N80" s="1">
        <f t="shared" si="5"/>
        <v>10100000000</v>
      </c>
      <c r="O80" s="1" t="s">
        <v>257</v>
      </c>
    </row>
    <row r="81">
      <c r="A81" s="1">
        <v>80.0</v>
      </c>
      <c r="B81" s="1" t="s">
        <v>394</v>
      </c>
      <c r="C81" s="1">
        <v>80.0</v>
      </c>
      <c r="D81" s="3" t="s">
        <v>198</v>
      </c>
      <c r="E81" s="2">
        <f t="shared" si="1"/>
        <v>1300</v>
      </c>
      <c r="F81" s="1" t="s">
        <v>395</v>
      </c>
      <c r="G81" s="1">
        <f t="shared" si="2"/>
        <v>475800000</v>
      </c>
      <c r="H81" s="1" t="s">
        <v>103</v>
      </c>
      <c r="I81" s="1">
        <f t="shared" si="3"/>
        <v>1400000</v>
      </c>
      <c r="J81" s="4">
        <v>0.0085</v>
      </c>
      <c r="K81" s="1" t="s">
        <v>396</v>
      </c>
      <c r="L81" s="1">
        <f t="shared" si="4"/>
        <v>462600</v>
      </c>
      <c r="M81" s="1" t="s">
        <v>386</v>
      </c>
      <c r="N81" s="1">
        <f t="shared" si="5"/>
        <v>1800000000</v>
      </c>
      <c r="O81" s="1" t="s">
        <v>349</v>
      </c>
    </row>
    <row r="82">
      <c r="A82" s="1">
        <v>81.0</v>
      </c>
      <c r="B82" s="1" t="s">
        <v>397</v>
      </c>
      <c r="C82" s="1">
        <v>86.0</v>
      </c>
      <c r="D82" s="3" t="s">
        <v>219</v>
      </c>
      <c r="E82" s="2">
        <f t="shared" si="1"/>
        <v>870</v>
      </c>
      <c r="F82" s="1" t="s">
        <v>398</v>
      </c>
      <c r="G82" s="1">
        <f t="shared" si="2"/>
        <v>47700000</v>
      </c>
      <c r="H82" s="1" t="s">
        <v>73</v>
      </c>
      <c r="I82" s="1">
        <f t="shared" si="3"/>
        <v>1500000</v>
      </c>
      <c r="J82" s="4">
        <v>0.0153</v>
      </c>
      <c r="K82" s="1" t="s">
        <v>399</v>
      </c>
      <c r="L82" s="1">
        <f t="shared" si="4"/>
        <v>837100</v>
      </c>
      <c r="M82" s="1" t="s">
        <v>98</v>
      </c>
      <c r="N82" s="1">
        <f t="shared" si="5"/>
        <v>1300000000</v>
      </c>
      <c r="O82" s="1" t="s">
        <v>28</v>
      </c>
    </row>
    <row r="83">
      <c r="A83" s="1">
        <v>82.0</v>
      </c>
      <c r="B83" s="1" t="s">
        <v>400</v>
      </c>
      <c r="C83" s="1">
        <v>86.0</v>
      </c>
      <c r="D83" s="3" t="s">
        <v>202</v>
      </c>
      <c r="E83" s="2">
        <f t="shared" si="1"/>
        <v>1700</v>
      </c>
      <c r="F83" s="1" t="s">
        <v>401</v>
      </c>
      <c r="G83" s="1">
        <f t="shared" si="2"/>
        <v>47300000</v>
      </c>
      <c r="H83" s="1" t="s">
        <v>402</v>
      </c>
      <c r="I83" s="1">
        <f t="shared" si="3"/>
        <v>395500</v>
      </c>
      <c r="J83" s="4">
        <v>0.002</v>
      </c>
      <c r="K83" s="1" t="s">
        <v>403</v>
      </c>
      <c r="L83" s="1">
        <f t="shared" si="4"/>
        <v>107600</v>
      </c>
      <c r="M83" s="1" t="s">
        <v>404</v>
      </c>
      <c r="N83" s="1">
        <f t="shared" si="5"/>
        <v>669300000</v>
      </c>
      <c r="O83" s="1" t="s">
        <v>28</v>
      </c>
    </row>
    <row r="84">
      <c r="A84" s="1">
        <v>83.0</v>
      </c>
      <c r="B84" s="1" t="s">
        <v>405</v>
      </c>
      <c r="C84" s="1">
        <v>87.0</v>
      </c>
      <c r="D84" s="3" t="s">
        <v>83</v>
      </c>
      <c r="E84" s="2">
        <f t="shared" si="1"/>
        <v>10000</v>
      </c>
      <c r="F84" s="1" t="s">
        <v>406</v>
      </c>
      <c r="G84" s="1">
        <f t="shared" si="2"/>
        <v>46900000</v>
      </c>
      <c r="H84" s="1" t="s">
        <v>407</v>
      </c>
      <c r="I84" s="1">
        <f t="shared" si="3"/>
        <v>194800</v>
      </c>
      <c r="J84" s="4">
        <v>0.0025</v>
      </c>
      <c r="K84" s="1" t="s">
        <v>408</v>
      </c>
      <c r="L84" s="1">
        <f t="shared" si="4"/>
        <v>135500</v>
      </c>
      <c r="M84" s="1" t="s">
        <v>227</v>
      </c>
      <c r="N84" s="1">
        <f t="shared" si="5"/>
        <v>1900000000</v>
      </c>
      <c r="O84" s="1" t="s">
        <v>28</v>
      </c>
    </row>
    <row r="85">
      <c r="A85" s="1">
        <v>84.0</v>
      </c>
      <c r="B85" s="1" t="s">
        <v>409</v>
      </c>
      <c r="C85" s="1">
        <v>86.0</v>
      </c>
      <c r="D85" s="3" t="s">
        <v>77</v>
      </c>
      <c r="E85" s="2">
        <f t="shared" si="1"/>
        <v>660</v>
      </c>
      <c r="F85" s="1" t="s">
        <v>406</v>
      </c>
      <c r="G85" s="1">
        <f t="shared" si="2"/>
        <v>46900000</v>
      </c>
      <c r="H85" s="1" t="s">
        <v>97</v>
      </c>
      <c r="I85" s="1">
        <f t="shared" si="3"/>
        <v>2300000</v>
      </c>
      <c r="J85" s="4">
        <v>0.0818</v>
      </c>
      <c r="K85" s="1" t="s">
        <v>33</v>
      </c>
      <c r="L85" s="1">
        <f t="shared" si="4"/>
        <v>4400000</v>
      </c>
      <c r="M85" s="1" t="s">
        <v>135</v>
      </c>
      <c r="N85" s="1">
        <f t="shared" si="5"/>
        <v>1500000000</v>
      </c>
      <c r="O85" s="1" t="s">
        <v>28</v>
      </c>
    </row>
    <row r="86">
      <c r="A86" s="1">
        <v>85.0</v>
      </c>
      <c r="B86" s="1" t="s">
        <v>410</v>
      </c>
      <c r="C86" s="1">
        <v>79.0</v>
      </c>
      <c r="D86" s="3" t="s">
        <v>100</v>
      </c>
      <c r="E86" s="2">
        <f t="shared" si="1"/>
        <v>3200</v>
      </c>
      <c r="F86" s="1" t="s">
        <v>411</v>
      </c>
      <c r="G86" s="1">
        <f t="shared" si="2"/>
        <v>46800000</v>
      </c>
      <c r="H86" s="1" t="s">
        <v>155</v>
      </c>
      <c r="I86" s="1">
        <f t="shared" si="3"/>
        <v>1100000</v>
      </c>
      <c r="J86" s="4">
        <v>0.0206</v>
      </c>
      <c r="K86" s="1" t="s">
        <v>155</v>
      </c>
      <c r="L86" s="1">
        <f t="shared" si="4"/>
        <v>1100000</v>
      </c>
      <c r="M86" s="1" t="s">
        <v>412</v>
      </c>
      <c r="N86" s="1">
        <f t="shared" si="5"/>
        <v>3600000000</v>
      </c>
      <c r="O86" s="1" t="s">
        <v>200</v>
      </c>
    </row>
    <row r="87">
      <c r="A87" s="1">
        <v>86.0</v>
      </c>
      <c r="B87" s="1" t="s">
        <v>413</v>
      </c>
      <c r="C87" s="1">
        <v>86.0</v>
      </c>
      <c r="D87" s="3" t="s">
        <v>48</v>
      </c>
      <c r="E87" s="2">
        <f t="shared" si="1"/>
        <v>5600</v>
      </c>
      <c r="F87" s="1" t="s">
        <v>414</v>
      </c>
      <c r="G87" s="1">
        <f t="shared" si="2"/>
        <v>46500000</v>
      </c>
      <c r="H87" s="1" t="s">
        <v>415</v>
      </c>
      <c r="I87" s="1">
        <f t="shared" si="3"/>
        <v>959800</v>
      </c>
      <c r="J87" s="4">
        <v>0.0051</v>
      </c>
      <c r="K87" s="1" t="s">
        <v>416</v>
      </c>
      <c r="L87" s="1">
        <f t="shared" si="4"/>
        <v>266500</v>
      </c>
      <c r="M87" s="1" t="s">
        <v>315</v>
      </c>
      <c r="N87" s="1">
        <f t="shared" si="5"/>
        <v>5400000000</v>
      </c>
      <c r="O87" s="1" t="s">
        <v>130</v>
      </c>
    </row>
    <row r="88">
      <c r="A88" s="1">
        <v>87.0</v>
      </c>
      <c r="B88" s="1" t="s">
        <v>417</v>
      </c>
      <c r="C88" s="1">
        <v>76.0</v>
      </c>
      <c r="D88" s="3" t="s">
        <v>121</v>
      </c>
      <c r="E88" s="2">
        <f t="shared" si="1"/>
        <v>1200</v>
      </c>
      <c r="F88" s="1" t="s">
        <v>414</v>
      </c>
      <c r="G88" s="1">
        <f t="shared" si="2"/>
        <v>46500000</v>
      </c>
      <c r="H88" s="1" t="s">
        <v>103</v>
      </c>
      <c r="I88" s="1">
        <f t="shared" si="3"/>
        <v>1400000</v>
      </c>
      <c r="J88" s="4">
        <v>0.0133</v>
      </c>
      <c r="K88" s="1" t="s">
        <v>418</v>
      </c>
      <c r="L88" s="1">
        <f t="shared" si="4"/>
        <v>693900</v>
      </c>
      <c r="M88" s="1" t="s">
        <v>124</v>
      </c>
      <c r="N88" s="1">
        <f t="shared" si="5"/>
        <v>1600000000</v>
      </c>
      <c r="O88" s="1" t="s">
        <v>257</v>
      </c>
    </row>
    <row r="89">
      <c r="A89" s="1">
        <v>88.0</v>
      </c>
      <c r="B89" s="1" t="s">
        <v>419</v>
      </c>
      <c r="C89" s="1">
        <v>86.0</v>
      </c>
      <c r="D89" s="3" t="s">
        <v>420</v>
      </c>
      <c r="E89" s="2">
        <f t="shared" si="1"/>
        <v>420</v>
      </c>
      <c r="F89" s="1" t="s">
        <v>414</v>
      </c>
      <c r="G89" s="1">
        <f t="shared" si="2"/>
        <v>46500000</v>
      </c>
      <c r="H89" s="1" t="s">
        <v>421</v>
      </c>
      <c r="I89" s="1">
        <f t="shared" si="3"/>
        <v>3000000</v>
      </c>
      <c r="J89" s="4">
        <v>0.0205</v>
      </c>
      <c r="K89" s="1" t="s">
        <v>155</v>
      </c>
      <c r="L89" s="1">
        <f t="shared" si="4"/>
        <v>1100000</v>
      </c>
      <c r="M89" s="1" t="s">
        <v>98</v>
      </c>
      <c r="N89" s="1">
        <f t="shared" si="5"/>
        <v>1300000000</v>
      </c>
      <c r="O89" s="1" t="s">
        <v>28</v>
      </c>
    </row>
    <row r="90">
      <c r="A90" s="1">
        <v>89.0</v>
      </c>
      <c r="B90" s="1" t="s">
        <v>422</v>
      </c>
      <c r="C90" s="1">
        <v>84.0</v>
      </c>
      <c r="D90" s="3" t="s">
        <v>423</v>
      </c>
      <c r="E90" s="2">
        <f t="shared" si="1"/>
        <v>4600</v>
      </c>
      <c r="F90" s="1" t="s">
        <v>424</v>
      </c>
      <c r="G90" s="1">
        <f t="shared" si="2"/>
        <v>46200000</v>
      </c>
      <c r="H90" s="1" t="s">
        <v>425</v>
      </c>
      <c r="I90" s="1">
        <f t="shared" si="3"/>
        <v>764000</v>
      </c>
      <c r="J90" s="4">
        <v>0.0057</v>
      </c>
      <c r="K90" s="1" t="s">
        <v>426</v>
      </c>
      <c r="L90" s="1">
        <f t="shared" si="4"/>
        <v>301300</v>
      </c>
      <c r="M90" s="1" t="s">
        <v>256</v>
      </c>
      <c r="N90" s="1">
        <f t="shared" si="5"/>
        <v>3500000000</v>
      </c>
      <c r="O90" s="1" t="s">
        <v>28</v>
      </c>
    </row>
    <row r="91">
      <c r="A91" s="1">
        <v>90.0</v>
      </c>
      <c r="B91" s="1" t="s">
        <v>427</v>
      </c>
      <c r="C91" s="1">
        <v>83.0</v>
      </c>
      <c r="D91" s="3" t="s">
        <v>211</v>
      </c>
      <c r="E91" s="2">
        <f t="shared" si="1"/>
        <v>3600</v>
      </c>
      <c r="F91" s="1" t="s">
        <v>428</v>
      </c>
      <c r="G91" s="1">
        <f t="shared" si="2"/>
        <v>45900000</v>
      </c>
      <c r="H91" s="1" t="s">
        <v>103</v>
      </c>
      <c r="I91" s="1">
        <f t="shared" si="3"/>
        <v>1400000</v>
      </c>
      <c r="J91" s="4">
        <v>0.0102</v>
      </c>
      <c r="K91" s="1" t="s">
        <v>429</v>
      </c>
      <c r="L91" s="1">
        <f t="shared" si="4"/>
        <v>531600</v>
      </c>
      <c r="M91" s="1" t="s">
        <v>222</v>
      </c>
      <c r="N91" s="1">
        <f t="shared" si="5"/>
        <v>5100000000</v>
      </c>
      <c r="O91" s="1" t="s">
        <v>28</v>
      </c>
    </row>
    <row r="92">
      <c r="A92" s="1">
        <v>91.0</v>
      </c>
      <c r="B92" s="1" t="s">
        <v>430</v>
      </c>
      <c r="C92" s="1">
        <v>74.0</v>
      </c>
      <c r="D92" s="3" t="s">
        <v>431</v>
      </c>
      <c r="E92" s="2">
        <f t="shared" si="1"/>
        <v>2100</v>
      </c>
      <c r="F92" s="1" t="s">
        <v>428</v>
      </c>
      <c r="G92" s="1">
        <f t="shared" si="2"/>
        <v>45900000</v>
      </c>
      <c r="H92" s="1" t="s">
        <v>215</v>
      </c>
      <c r="I92" s="1">
        <f t="shared" si="3"/>
        <v>1600000</v>
      </c>
      <c r="J92" s="4">
        <v>0.0185</v>
      </c>
      <c r="K92" s="1" t="s">
        <v>432</v>
      </c>
      <c r="L92" s="1">
        <f t="shared" si="4"/>
        <v>971700</v>
      </c>
      <c r="M92" s="1" t="s">
        <v>186</v>
      </c>
      <c r="N92" s="1">
        <f t="shared" si="5"/>
        <v>3400000000</v>
      </c>
      <c r="O92" s="1" t="s">
        <v>28</v>
      </c>
    </row>
    <row r="93">
      <c r="A93" s="1">
        <v>92.0</v>
      </c>
      <c r="B93" s="1" t="s">
        <v>433</v>
      </c>
      <c r="C93" s="1">
        <v>87.0</v>
      </c>
      <c r="D93" s="3" t="s">
        <v>434</v>
      </c>
      <c r="E93" s="2">
        <f t="shared" si="1"/>
        <v>2200</v>
      </c>
      <c r="F93" s="1" t="s">
        <v>435</v>
      </c>
      <c r="G93" s="1">
        <f t="shared" si="2"/>
        <v>45800000</v>
      </c>
      <c r="H93" s="1" t="s">
        <v>155</v>
      </c>
      <c r="I93" s="1">
        <f t="shared" si="3"/>
        <v>1100000</v>
      </c>
      <c r="J93" s="4">
        <v>0.0106</v>
      </c>
      <c r="K93" s="1" t="s">
        <v>436</v>
      </c>
      <c r="L93" s="1">
        <f t="shared" si="4"/>
        <v>557900</v>
      </c>
      <c r="M93" s="1" t="s">
        <v>209</v>
      </c>
      <c r="N93" s="1">
        <f t="shared" si="5"/>
        <v>2500000000</v>
      </c>
      <c r="O93" s="1" t="s">
        <v>28</v>
      </c>
    </row>
    <row r="94">
      <c r="A94" s="1">
        <v>93.0</v>
      </c>
      <c r="B94" s="1" t="s">
        <v>437</v>
      </c>
      <c r="C94" s="1">
        <v>87.0</v>
      </c>
      <c r="D94" s="3" t="s">
        <v>83</v>
      </c>
      <c r="E94" s="2">
        <f t="shared" si="1"/>
        <v>10000</v>
      </c>
      <c r="F94" s="1" t="s">
        <v>438</v>
      </c>
      <c r="G94" s="1">
        <f t="shared" si="2"/>
        <v>45400000</v>
      </c>
      <c r="H94" s="1" t="s">
        <v>439</v>
      </c>
      <c r="I94" s="1">
        <f t="shared" si="3"/>
        <v>878000</v>
      </c>
      <c r="J94" s="4">
        <v>0.0066</v>
      </c>
      <c r="K94" s="1" t="s">
        <v>440</v>
      </c>
      <c r="L94" s="1">
        <f t="shared" si="4"/>
        <v>340500</v>
      </c>
      <c r="M94" s="1" t="s">
        <v>267</v>
      </c>
      <c r="N94" s="1">
        <f t="shared" si="5"/>
        <v>8800000000</v>
      </c>
      <c r="O94" s="1" t="s">
        <v>28</v>
      </c>
    </row>
    <row r="95">
      <c r="A95" s="1">
        <v>94.0</v>
      </c>
      <c r="B95" s="1" t="s">
        <v>441</v>
      </c>
      <c r="C95" s="1">
        <v>22.0</v>
      </c>
      <c r="D95" s="3" t="s">
        <v>442</v>
      </c>
      <c r="E95" s="2">
        <f t="shared" si="1"/>
        <v>840</v>
      </c>
      <c r="F95" s="1" t="s">
        <v>438</v>
      </c>
      <c r="G95" s="1">
        <f t="shared" si="2"/>
        <v>45400000</v>
      </c>
      <c r="H95" s="1" t="s">
        <v>117</v>
      </c>
      <c r="I95" s="1">
        <f t="shared" si="3"/>
        <v>1800000</v>
      </c>
      <c r="J95" s="4">
        <v>0.0218</v>
      </c>
      <c r="K95" s="1" t="s">
        <v>155</v>
      </c>
      <c r="L95" s="1">
        <f t="shared" si="4"/>
        <v>1100000</v>
      </c>
      <c r="M95" s="1" t="s">
        <v>135</v>
      </c>
      <c r="N95" s="1">
        <f t="shared" si="5"/>
        <v>1500000000</v>
      </c>
      <c r="O95" s="1" t="s">
        <v>28</v>
      </c>
    </row>
    <row r="96">
      <c r="A96" s="1">
        <v>95.0</v>
      </c>
      <c r="B96" s="1" t="s">
        <v>443</v>
      </c>
      <c r="C96" s="1">
        <v>85.0</v>
      </c>
      <c r="D96" s="3" t="s">
        <v>83</v>
      </c>
      <c r="E96" s="2">
        <f t="shared" si="1"/>
        <v>10000</v>
      </c>
      <c r="F96" s="1" t="s">
        <v>444</v>
      </c>
      <c r="G96" s="1">
        <f t="shared" si="2"/>
        <v>44800000</v>
      </c>
      <c r="H96" s="1" t="s">
        <v>445</v>
      </c>
      <c r="I96" s="1">
        <f t="shared" si="3"/>
        <v>147300</v>
      </c>
      <c r="J96" s="4">
        <v>0.0011</v>
      </c>
      <c r="K96" s="1" t="s">
        <v>446</v>
      </c>
      <c r="L96" s="1">
        <f t="shared" si="4"/>
        <v>56300</v>
      </c>
      <c r="M96" s="1" t="s">
        <v>135</v>
      </c>
      <c r="N96" s="1">
        <f t="shared" si="5"/>
        <v>1500000000</v>
      </c>
      <c r="O96" s="1" t="s">
        <v>323</v>
      </c>
    </row>
    <row r="97">
      <c r="A97" s="1">
        <v>96.0</v>
      </c>
      <c r="B97" s="5" t="s">
        <v>447</v>
      </c>
      <c r="C97" s="1">
        <v>79.0</v>
      </c>
      <c r="D97" s="3" t="s">
        <v>448</v>
      </c>
      <c r="E97" s="2">
        <f t="shared" si="1"/>
        <v>10300</v>
      </c>
      <c r="F97" s="1" t="s">
        <v>449</v>
      </c>
      <c r="G97" s="1">
        <f t="shared" si="2"/>
        <v>44500000</v>
      </c>
      <c r="H97" s="1" t="s">
        <v>450</v>
      </c>
      <c r="I97" s="1">
        <f t="shared" si="3"/>
        <v>863200</v>
      </c>
      <c r="J97" s="4">
        <v>0.0152</v>
      </c>
      <c r="K97" s="1" t="s">
        <v>451</v>
      </c>
      <c r="L97" s="1">
        <f t="shared" si="4"/>
        <v>774200</v>
      </c>
      <c r="M97" s="1" t="s">
        <v>452</v>
      </c>
      <c r="N97" s="1">
        <f t="shared" si="5"/>
        <v>8900000000</v>
      </c>
      <c r="O97" s="1" t="s">
        <v>180</v>
      </c>
    </row>
    <row r="98">
      <c r="A98" s="1">
        <v>97.0</v>
      </c>
      <c r="B98" s="1" t="s">
        <v>453</v>
      </c>
      <c r="C98" s="1">
        <v>82.0</v>
      </c>
      <c r="D98" s="3" t="s">
        <v>342</v>
      </c>
      <c r="E98" s="2">
        <f t="shared" si="1"/>
        <v>2400</v>
      </c>
      <c r="F98" s="1" t="s">
        <v>454</v>
      </c>
      <c r="G98" s="1">
        <f t="shared" si="2"/>
        <v>44200000</v>
      </c>
      <c r="H98" s="1" t="s">
        <v>455</v>
      </c>
      <c r="I98" s="1">
        <f t="shared" si="3"/>
        <v>186400</v>
      </c>
      <c r="J98" s="4">
        <v>4.0E-4</v>
      </c>
      <c r="K98" s="1" t="s">
        <v>456</v>
      </c>
      <c r="L98" s="1">
        <f t="shared" si="4"/>
        <v>16800</v>
      </c>
      <c r="M98" s="1" t="s">
        <v>457</v>
      </c>
      <c r="N98" s="1">
        <f t="shared" si="5"/>
        <v>453600000</v>
      </c>
      <c r="O98" s="1" t="s">
        <v>28</v>
      </c>
    </row>
    <row r="99">
      <c r="A99" s="1">
        <v>98.0</v>
      </c>
      <c r="B99" s="1" t="s">
        <v>458</v>
      </c>
      <c r="C99" s="1">
        <v>84.0</v>
      </c>
      <c r="D99" s="3" t="s">
        <v>420</v>
      </c>
      <c r="E99" s="2">
        <f t="shared" si="1"/>
        <v>420</v>
      </c>
      <c r="F99" s="1" t="s">
        <v>459</v>
      </c>
      <c r="G99" s="1">
        <f t="shared" si="2"/>
        <v>43900000</v>
      </c>
      <c r="H99" s="1" t="s">
        <v>460</v>
      </c>
      <c r="I99" s="1">
        <f t="shared" si="3"/>
        <v>4700000</v>
      </c>
      <c r="J99" s="4">
        <v>0.0382</v>
      </c>
      <c r="K99" s="1" t="s">
        <v>44</v>
      </c>
      <c r="L99" s="1">
        <f t="shared" si="4"/>
        <v>1900000</v>
      </c>
      <c r="M99" s="1" t="s">
        <v>232</v>
      </c>
      <c r="N99" s="1">
        <f t="shared" si="5"/>
        <v>2000000000</v>
      </c>
      <c r="O99" s="1" t="s">
        <v>28</v>
      </c>
    </row>
    <row r="100">
      <c r="A100" s="1">
        <v>99.0</v>
      </c>
      <c r="B100" s="1" t="s">
        <v>461</v>
      </c>
      <c r="C100" s="1">
        <v>85.0</v>
      </c>
      <c r="D100" s="3" t="s">
        <v>462</v>
      </c>
      <c r="E100" s="2">
        <f t="shared" si="1"/>
        <v>600</v>
      </c>
      <c r="F100" s="1" t="s">
        <v>463</v>
      </c>
      <c r="G100" s="1">
        <f t="shared" si="2"/>
        <v>43800000</v>
      </c>
      <c r="H100" s="1" t="s">
        <v>464</v>
      </c>
      <c r="I100" s="1">
        <f t="shared" si="3"/>
        <v>700500</v>
      </c>
      <c r="J100" s="4">
        <v>0.0122</v>
      </c>
      <c r="K100" s="1" t="s">
        <v>465</v>
      </c>
      <c r="L100" s="1">
        <f t="shared" si="4"/>
        <v>611200</v>
      </c>
      <c r="M100" s="1" t="s">
        <v>466</v>
      </c>
      <c r="N100" s="1">
        <f t="shared" si="5"/>
        <v>421700000</v>
      </c>
      <c r="O100" s="1" t="s">
        <v>28</v>
      </c>
    </row>
    <row r="101">
      <c r="A101" s="1">
        <v>100.0</v>
      </c>
      <c r="B101" s="1" t="s">
        <v>467</v>
      </c>
      <c r="C101" s="1">
        <v>76.0</v>
      </c>
      <c r="D101" s="3" t="s">
        <v>364</v>
      </c>
      <c r="E101" s="2">
        <f t="shared" si="1"/>
        <v>2700</v>
      </c>
      <c r="F101" s="1" t="s">
        <v>463</v>
      </c>
      <c r="G101" s="1">
        <f t="shared" si="2"/>
        <v>43800000</v>
      </c>
      <c r="H101" s="1" t="s">
        <v>468</v>
      </c>
      <c r="I101" s="1">
        <f t="shared" si="3"/>
        <v>897200</v>
      </c>
      <c r="J101" s="4">
        <v>0.0121</v>
      </c>
      <c r="K101" s="1" t="s">
        <v>469</v>
      </c>
      <c r="L101" s="1">
        <f t="shared" si="4"/>
        <v>604400</v>
      </c>
      <c r="M101" s="1" t="s">
        <v>470</v>
      </c>
      <c r="N101" s="1">
        <f t="shared" si="5"/>
        <v>2400000000</v>
      </c>
      <c r="O101" s="1" t="s">
        <v>257</v>
      </c>
    </row>
    <row r="102">
      <c r="A102" s="1">
        <v>101.0</v>
      </c>
      <c r="B102" s="1" t="s">
        <v>471</v>
      </c>
      <c r="C102" s="1">
        <v>86.0</v>
      </c>
      <c r="D102" s="3" t="s">
        <v>472</v>
      </c>
      <c r="E102" s="2">
        <f t="shared" si="1"/>
        <v>1100</v>
      </c>
      <c r="F102" s="1" t="s">
        <v>473</v>
      </c>
      <c r="G102" s="1">
        <f t="shared" si="2"/>
        <v>43700000</v>
      </c>
      <c r="H102" s="1" t="s">
        <v>103</v>
      </c>
      <c r="I102" s="1">
        <f t="shared" si="3"/>
        <v>1400000</v>
      </c>
      <c r="J102" s="4">
        <v>0.0075</v>
      </c>
      <c r="K102" s="1" t="s">
        <v>474</v>
      </c>
      <c r="L102" s="1">
        <f t="shared" si="4"/>
        <v>363900</v>
      </c>
      <c r="M102" s="1" t="s">
        <v>135</v>
      </c>
      <c r="N102" s="1">
        <f t="shared" si="5"/>
        <v>1500000000</v>
      </c>
      <c r="O102" s="1" t="s">
        <v>336</v>
      </c>
    </row>
    <row r="103">
      <c r="A103" s="1">
        <v>102.0</v>
      </c>
      <c r="B103" s="1" t="s">
        <v>475</v>
      </c>
      <c r="C103" s="1">
        <v>80.0</v>
      </c>
      <c r="D103" s="3" t="s">
        <v>110</v>
      </c>
      <c r="E103" s="2">
        <f t="shared" si="1"/>
        <v>6400</v>
      </c>
      <c r="F103" s="1" t="s">
        <v>476</v>
      </c>
      <c r="G103" s="1">
        <f t="shared" si="2"/>
        <v>43400000</v>
      </c>
      <c r="H103" s="1" t="s">
        <v>477</v>
      </c>
      <c r="I103" s="1">
        <f t="shared" si="3"/>
        <v>356800</v>
      </c>
      <c r="J103" s="4">
        <v>0.0091</v>
      </c>
      <c r="K103" s="1" t="s">
        <v>478</v>
      </c>
      <c r="L103" s="1">
        <f t="shared" si="4"/>
        <v>452900</v>
      </c>
      <c r="M103" s="1" t="s">
        <v>205</v>
      </c>
      <c r="N103" s="1">
        <f t="shared" si="5"/>
        <v>2300000000</v>
      </c>
      <c r="O103" s="1" t="s">
        <v>28</v>
      </c>
    </row>
    <row r="104">
      <c r="A104" s="1">
        <v>103.0</v>
      </c>
      <c r="B104" s="1" t="s">
        <v>479</v>
      </c>
      <c r="C104" s="1">
        <v>83.0</v>
      </c>
      <c r="D104" s="3" t="s">
        <v>480</v>
      </c>
      <c r="E104" s="2">
        <f t="shared" si="1"/>
        <v>60</v>
      </c>
      <c r="F104" s="1" t="s">
        <v>481</v>
      </c>
      <c r="G104" s="1">
        <f t="shared" si="2"/>
        <v>43200000</v>
      </c>
      <c r="H104" s="1" t="s">
        <v>482</v>
      </c>
      <c r="I104" s="1">
        <f t="shared" si="3"/>
        <v>15400000</v>
      </c>
      <c r="J104" s="4">
        <v>0.258</v>
      </c>
      <c r="K104" s="1" t="s">
        <v>483</v>
      </c>
      <c r="L104" s="1">
        <f t="shared" si="4"/>
        <v>12600000</v>
      </c>
      <c r="M104" s="1" t="s">
        <v>484</v>
      </c>
      <c r="N104" s="1">
        <f t="shared" si="5"/>
        <v>987400000</v>
      </c>
      <c r="O104" s="1" t="s">
        <v>28</v>
      </c>
    </row>
    <row r="105">
      <c r="A105" s="1">
        <v>104.0</v>
      </c>
      <c r="B105" s="1" t="s">
        <v>485</v>
      </c>
      <c r="C105" s="1">
        <v>81.0</v>
      </c>
      <c r="D105" s="3" t="s">
        <v>265</v>
      </c>
      <c r="E105" s="2">
        <f t="shared" si="1"/>
        <v>2500</v>
      </c>
      <c r="F105" s="1" t="s">
        <v>486</v>
      </c>
      <c r="G105" s="1">
        <f t="shared" si="2"/>
        <v>43100000</v>
      </c>
      <c r="H105" s="1" t="s">
        <v>67</v>
      </c>
      <c r="I105" s="1">
        <f t="shared" si="3"/>
        <v>2400000</v>
      </c>
      <c r="J105" s="4">
        <v>0.0355</v>
      </c>
      <c r="K105" s="1" t="s">
        <v>102</v>
      </c>
      <c r="L105" s="1">
        <f t="shared" si="4"/>
        <v>1700000</v>
      </c>
      <c r="M105" s="1" t="s">
        <v>487</v>
      </c>
      <c r="N105" s="1">
        <f t="shared" si="5"/>
        <v>6100000000</v>
      </c>
      <c r="O105" s="1" t="s">
        <v>28</v>
      </c>
    </row>
    <row r="106">
      <c r="A106" s="1">
        <v>105.0</v>
      </c>
      <c r="B106" s="1" t="s">
        <v>488</v>
      </c>
      <c r="C106" s="1">
        <v>80.0</v>
      </c>
      <c r="D106" s="3" t="s">
        <v>489</v>
      </c>
      <c r="E106" s="2">
        <f t="shared" si="1"/>
        <v>150</v>
      </c>
      <c r="F106" s="1" t="s">
        <v>490</v>
      </c>
      <c r="G106" s="1">
        <f t="shared" si="2"/>
        <v>42900000</v>
      </c>
      <c r="H106" s="1" t="s">
        <v>491</v>
      </c>
      <c r="I106" s="1">
        <f t="shared" si="3"/>
        <v>4200000</v>
      </c>
      <c r="J106" s="4">
        <v>0.0328</v>
      </c>
      <c r="K106" s="1" t="s">
        <v>215</v>
      </c>
      <c r="L106" s="1">
        <f t="shared" si="4"/>
        <v>1600000</v>
      </c>
      <c r="M106" s="1" t="s">
        <v>492</v>
      </c>
      <c r="N106" s="1">
        <f t="shared" si="5"/>
        <v>654400000</v>
      </c>
      <c r="O106" s="1" t="s">
        <v>28</v>
      </c>
    </row>
    <row r="107">
      <c r="A107" s="1">
        <v>106.0</v>
      </c>
      <c r="B107" s="1" t="s">
        <v>493</v>
      </c>
      <c r="C107" s="1">
        <v>86.0</v>
      </c>
      <c r="D107" s="3" t="s">
        <v>494</v>
      </c>
      <c r="E107" s="2">
        <f t="shared" si="1"/>
        <v>8900</v>
      </c>
      <c r="F107" s="1" t="s">
        <v>495</v>
      </c>
      <c r="G107" s="1">
        <f t="shared" si="2"/>
        <v>42200000</v>
      </c>
      <c r="H107" s="1" t="s">
        <v>496</v>
      </c>
      <c r="I107" s="1">
        <f t="shared" si="3"/>
        <v>115100</v>
      </c>
      <c r="J107" s="4">
        <v>0.0015</v>
      </c>
      <c r="K107" s="1" t="s">
        <v>497</v>
      </c>
      <c r="L107" s="1">
        <f t="shared" si="4"/>
        <v>72400</v>
      </c>
      <c r="M107" s="1" t="s">
        <v>498</v>
      </c>
      <c r="N107" s="1">
        <f t="shared" si="5"/>
        <v>1000000000</v>
      </c>
      <c r="O107" s="1" t="s">
        <v>499</v>
      </c>
    </row>
    <row r="108">
      <c r="A108" s="1">
        <v>107.0</v>
      </c>
      <c r="B108" s="1" t="s">
        <v>500</v>
      </c>
      <c r="C108" s="1">
        <v>84.0</v>
      </c>
      <c r="D108" s="3" t="s">
        <v>501</v>
      </c>
      <c r="E108" s="2">
        <f t="shared" si="1"/>
        <v>6500</v>
      </c>
      <c r="F108" s="1" t="s">
        <v>502</v>
      </c>
      <c r="G108" s="1">
        <f t="shared" si="2"/>
        <v>42100000</v>
      </c>
      <c r="H108" s="1" t="s">
        <v>503</v>
      </c>
      <c r="I108" s="1">
        <f t="shared" si="3"/>
        <v>372400</v>
      </c>
      <c r="J108" s="4">
        <v>0.0027</v>
      </c>
      <c r="K108" s="1" t="s">
        <v>504</v>
      </c>
      <c r="L108" s="1">
        <f t="shared" si="4"/>
        <v>131800</v>
      </c>
      <c r="M108" s="1" t="s">
        <v>470</v>
      </c>
      <c r="N108" s="1">
        <f t="shared" si="5"/>
        <v>2400000000</v>
      </c>
      <c r="O108" s="1" t="s">
        <v>323</v>
      </c>
    </row>
    <row r="109">
      <c r="A109" s="1">
        <v>108.0</v>
      </c>
      <c r="B109" s="1" t="s">
        <v>505</v>
      </c>
      <c r="C109" s="1">
        <v>82.0</v>
      </c>
      <c r="D109" s="3" t="s">
        <v>501</v>
      </c>
      <c r="E109" s="2">
        <f t="shared" si="1"/>
        <v>6500</v>
      </c>
      <c r="F109" s="1" t="s">
        <v>502</v>
      </c>
      <c r="G109" s="1">
        <f t="shared" si="2"/>
        <v>42100000</v>
      </c>
      <c r="H109" s="1" t="s">
        <v>506</v>
      </c>
      <c r="I109" s="1">
        <f t="shared" si="3"/>
        <v>127500</v>
      </c>
      <c r="J109" s="4">
        <v>8.0E-4</v>
      </c>
      <c r="K109" s="1" t="s">
        <v>507</v>
      </c>
      <c r="L109" s="1">
        <f t="shared" si="4"/>
        <v>40500</v>
      </c>
      <c r="M109" s="1" t="s">
        <v>508</v>
      </c>
      <c r="N109" s="1">
        <f t="shared" si="5"/>
        <v>824000000</v>
      </c>
      <c r="O109" s="1" t="s">
        <v>349</v>
      </c>
    </row>
    <row r="110">
      <c r="A110" s="1">
        <v>109.0</v>
      </c>
      <c r="B110" s="1" t="s">
        <v>509</v>
      </c>
      <c r="C110" s="1">
        <v>85.0</v>
      </c>
      <c r="D110" s="3" t="s">
        <v>198</v>
      </c>
      <c r="E110" s="2">
        <f t="shared" si="1"/>
        <v>1300</v>
      </c>
      <c r="F110" s="1" t="s">
        <v>510</v>
      </c>
      <c r="G110" s="1">
        <f t="shared" si="2"/>
        <v>41900000</v>
      </c>
      <c r="H110" s="1" t="s">
        <v>117</v>
      </c>
      <c r="I110" s="1">
        <f t="shared" si="3"/>
        <v>1800000</v>
      </c>
      <c r="J110" s="4">
        <v>0.0288</v>
      </c>
      <c r="K110" s="1" t="s">
        <v>103</v>
      </c>
      <c r="L110" s="1">
        <f t="shared" si="4"/>
        <v>1400000</v>
      </c>
      <c r="M110" s="1" t="s">
        <v>205</v>
      </c>
      <c r="N110" s="1">
        <f t="shared" si="5"/>
        <v>2300000000</v>
      </c>
      <c r="O110" s="1" t="s">
        <v>28</v>
      </c>
    </row>
    <row r="111">
      <c r="A111" s="1">
        <v>110.0</v>
      </c>
      <c r="B111" s="1" t="s">
        <v>511</v>
      </c>
      <c r="C111" s="1">
        <v>85.0</v>
      </c>
      <c r="D111" s="3" t="s">
        <v>106</v>
      </c>
      <c r="E111" s="2">
        <f t="shared" si="1"/>
        <v>1400</v>
      </c>
      <c r="F111" s="1" t="s">
        <v>512</v>
      </c>
      <c r="G111" s="1">
        <f t="shared" si="2"/>
        <v>41800000</v>
      </c>
      <c r="H111" s="1" t="s">
        <v>112</v>
      </c>
      <c r="I111" s="1">
        <f t="shared" si="3"/>
        <v>2100000</v>
      </c>
      <c r="J111" s="4">
        <v>0.0277</v>
      </c>
      <c r="K111" s="1" t="s">
        <v>118</v>
      </c>
      <c r="L111" s="1">
        <f t="shared" si="4"/>
        <v>1300000</v>
      </c>
      <c r="M111" s="1" t="s">
        <v>87</v>
      </c>
      <c r="N111" s="1">
        <f t="shared" si="5"/>
        <v>3000000000</v>
      </c>
      <c r="O111" s="1" t="s">
        <v>28</v>
      </c>
    </row>
    <row r="112">
      <c r="A112" s="1">
        <v>111.0</v>
      </c>
      <c r="B112" s="1" t="s">
        <v>513</v>
      </c>
      <c r="C112" s="1">
        <v>85.0</v>
      </c>
      <c r="D112" s="3" t="s">
        <v>514</v>
      </c>
      <c r="E112" s="2">
        <f t="shared" si="1"/>
        <v>170</v>
      </c>
      <c r="F112" s="1" t="s">
        <v>515</v>
      </c>
      <c r="G112" s="1">
        <f t="shared" si="2"/>
        <v>41600000</v>
      </c>
      <c r="H112" s="1" t="s">
        <v>215</v>
      </c>
      <c r="I112" s="1">
        <f t="shared" si="3"/>
        <v>1600000</v>
      </c>
      <c r="J112" s="4">
        <v>0.0175</v>
      </c>
      <c r="K112" s="1" t="s">
        <v>516</v>
      </c>
      <c r="L112" s="1">
        <f t="shared" si="4"/>
        <v>841400</v>
      </c>
      <c r="M112" s="1" t="s">
        <v>517</v>
      </c>
      <c r="N112" s="1">
        <f t="shared" si="5"/>
        <v>283000000</v>
      </c>
      <c r="O112" s="1" t="s">
        <v>28</v>
      </c>
    </row>
    <row r="113">
      <c r="A113" s="1">
        <v>112.0</v>
      </c>
      <c r="B113" s="1" t="s">
        <v>518</v>
      </c>
      <c r="C113" s="1">
        <v>86.0</v>
      </c>
      <c r="D113" s="3" t="s">
        <v>519</v>
      </c>
      <c r="E113" s="2">
        <f t="shared" si="1"/>
        <v>980</v>
      </c>
      <c r="F113" s="1" t="s">
        <v>520</v>
      </c>
      <c r="G113" s="1">
        <f t="shared" si="2"/>
        <v>41500000</v>
      </c>
      <c r="H113" s="1" t="s">
        <v>521</v>
      </c>
      <c r="I113" s="1">
        <f t="shared" si="3"/>
        <v>763000</v>
      </c>
      <c r="J113" s="4">
        <v>0.0143</v>
      </c>
      <c r="K113" s="1" t="s">
        <v>522</v>
      </c>
      <c r="L113" s="1">
        <f t="shared" si="4"/>
        <v>681300</v>
      </c>
      <c r="M113" s="1" t="s">
        <v>523</v>
      </c>
      <c r="N113" s="1">
        <f t="shared" si="5"/>
        <v>753100000</v>
      </c>
      <c r="O113" s="1" t="s">
        <v>28</v>
      </c>
    </row>
    <row r="114">
      <c r="A114" s="1">
        <v>113.0</v>
      </c>
      <c r="B114" s="1" t="s">
        <v>524</v>
      </c>
      <c r="C114" s="1">
        <v>85.0</v>
      </c>
      <c r="D114" s="3" t="s">
        <v>142</v>
      </c>
      <c r="E114" s="2">
        <f t="shared" si="1"/>
        <v>3500</v>
      </c>
      <c r="F114" s="1" t="s">
        <v>520</v>
      </c>
      <c r="G114" s="1">
        <f t="shared" si="2"/>
        <v>41500000</v>
      </c>
      <c r="H114" s="1" t="s">
        <v>525</v>
      </c>
      <c r="I114" s="1">
        <f t="shared" si="3"/>
        <v>452600</v>
      </c>
      <c r="J114" s="4">
        <v>0.0041</v>
      </c>
      <c r="K114" s="1" t="s">
        <v>526</v>
      </c>
      <c r="L114" s="1">
        <f t="shared" si="4"/>
        <v>189600</v>
      </c>
      <c r="M114" s="1" t="s">
        <v>124</v>
      </c>
      <c r="N114" s="1">
        <f t="shared" si="5"/>
        <v>1600000000</v>
      </c>
      <c r="O114" s="1" t="s">
        <v>28</v>
      </c>
    </row>
    <row r="115">
      <c r="A115" s="1">
        <v>114.0</v>
      </c>
      <c r="B115" s="1" t="s">
        <v>527</v>
      </c>
      <c r="C115" s="1">
        <v>81.0</v>
      </c>
      <c r="D115" s="3" t="s">
        <v>163</v>
      </c>
      <c r="E115" s="2">
        <f t="shared" si="1"/>
        <v>2300</v>
      </c>
      <c r="F115" s="1" t="s">
        <v>528</v>
      </c>
      <c r="G115" s="1">
        <f t="shared" si="2"/>
        <v>40800000</v>
      </c>
      <c r="H115" s="1" t="s">
        <v>529</v>
      </c>
      <c r="I115" s="1">
        <f t="shared" si="3"/>
        <v>728200</v>
      </c>
      <c r="J115" s="4">
        <v>0.0029</v>
      </c>
      <c r="K115" s="1" t="s">
        <v>530</v>
      </c>
      <c r="L115" s="1">
        <f t="shared" si="4"/>
        <v>133000</v>
      </c>
      <c r="M115" s="1" t="s">
        <v>301</v>
      </c>
      <c r="N115" s="1">
        <f t="shared" si="5"/>
        <v>1700000000</v>
      </c>
      <c r="O115" s="1" t="s">
        <v>531</v>
      </c>
    </row>
    <row r="116">
      <c r="A116" s="1">
        <v>115.0</v>
      </c>
      <c r="B116" s="1" t="s">
        <v>532</v>
      </c>
      <c r="C116" s="1">
        <v>57.0</v>
      </c>
      <c r="D116" s="3" t="s">
        <v>533</v>
      </c>
      <c r="E116" s="2">
        <f t="shared" si="1"/>
        <v>590</v>
      </c>
      <c r="F116" s="1" t="s">
        <v>534</v>
      </c>
      <c r="G116" s="1">
        <f t="shared" si="2"/>
        <v>40700000</v>
      </c>
      <c r="H116" s="1" t="s">
        <v>460</v>
      </c>
      <c r="I116" s="1">
        <f t="shared" si="3"/>
        <v>4700000</v>
      </c>
      <c r="J116" s="4">
        <v>0.0638</v>
      </c>
      <c r="K116" s="1" t="s">
        <v>51</v>
      </c>
      <c r="L116" s="1">
        <f t="shared" si="4"/>
        <v>2900000</v>
      </c>
      <c r="M116" s="1" t="s">
        <v>252</v>
      </c>
      <c r="N116" s="1">
        <f t="shared" si="5"/>
        <v>2800000000</v>
      </c>
      <c r="O116" s="1" t="s">
        <v>28</v>
      </c>
    </row>
    <row r="117">
      <c r="A117" s="1">
        <v>116.0</v>
      </c>
      <c r="B117" s="1" t="s">
        <v>535</v>
      </c>
      <c r="C117" s="1">
        <v>85.0</v>
      </c>
      <c r="D117" s="3" t="s">
        <v>431</v>
      </c>
      <c r="E117" s="2">
        <f t="shared" si="1"/>
        <v>2100</v>
      </c>
      <c r="F117" s="1" t="s">
        <v>534</v>
      </c>
      <c r="G117" s="1">
        <f t="shared" si="2"/>
        <v>40700000</v>
      </c>
      <c r="H117" s="1" t="s">
        <v>63</v>
      </c>
      <c r="I117" s="1">
        <f t="shared" si="3"/>
        <v>2000000</v>
      </c>
      <c r="J117" s="4">
        <v>0.0347</v>
      </c>
      <c r="K117" s="1" t="s">
        <v>215</v>
      </c>
      <c r="L117" s="1">
        <f t="shared" si="4"/>
        <v>1600000</v>
      </c>
      <c r="M117" s="1" t="s">
        <v>170</v>
      </c>
      <c r="N117" s="1">
        <f t="shared" si="5"/>
        <v>4200000000</v>
      </c>
      <c r="O117" s="1" t="s">
        <v>28</v>
      </c>
    </row>
    <row r="118">
      <c r="A118" s="1">
        <v>117.0</v>
      </c>
      <c r="B118" s="1" t="s">
        <v>536</v>
      </c>
      <c r="C118" s="1">
        <v>84.0</v>
      </c>
      <c r="D118" s="3" t="s">
        <v>537</v>
      </c>
      <c r="E118" s="2">
        <f t="shared" si="1"/>
        <v>4200</v>
      </c>
      <c r="F118" s="1" t="s">
        <v>538</v>
      </c>
      <c r="G118" s="1">
        <f t="shared" si="2"/>
        <v>40100000</v>
      </c>
      <c r="H118" s="1" t="s">
        <v>539</v>
      </c>
      <c r="I118" s="1">
        <f t="shared" si="3"/>
        <v>633900</v>
      </c>
      <c r="J118" s="4">
        <v>0.0063</v>
      </c>
      <c r="K118" s="1" t="s">
        <v>540</v>
      </c>
      <c r="L118" s="1">
        <f t="shared" si="4"/>
        <v>292900</v>
      </c>
      <c r="M118" s="1" t="s">
        <v>541</v>
      </c>
      <c r="N118" s="1">
        <f t="shared" si="5"/>
        <v>2700000000</v>
      </c>
      <c r="O118" s="1" t="s">
        <v>28</v>
      </c>
    </row>
    <row r="119">
      <c r="A119" s="1">
        <v>118.0</v>
      </c>
      <c r="B119" s="1" t="s">
        <v>542</v>
      </c>
      <c r="C119" s="1">
        <v>85.0</v>
      </c>
      <c r="D119" s="3" t="s">
        <v>83</v>
      </c>
      <c r="E119" s="2">
        <f t="shared" si="1"/>
        <v>10000</v>
      </c>
      <c r="F119" s="1" t="s">
        <v>543</v>
      </c>
      <c r="G119" s="1">
        <f t="shared" si="2"/>
        <v>40000000</v>
      </c>
      <c r="H119" s="1" t="s">
        <v>544</v>
      </c>
      <c r="I119" s="1">
        <f t="shared" si="3"/>
        <v>157000</v>
      </c>
      <c r="J119" s="4">
        <v>3.0E-4</v>
      </c>
      <c r="K119" s="1" t="s">
        <v>545</v>
      </c>
      <c r="L119" s="1">
        <f t="shared" si="4"/>
        <v>12400</v>
      </c>
      <c r="M119" s="1" t="s">
        <v>124</v>
      </c>
      <c r="N119" s="1">
        <f t="shared" si="5"/>
        <v>1600000000</v>
      </c>
      <c r="O119" s="1" t="s">
        <v>28</v>
      </c>
    </row>
    <row r="120">
      <c r="A120" s="1">
        <v>119.0</v>
      </c>
      <c r="B120" s="1" t="s">
        <v>546</v>
      </c>
      <c r="C120" s="1">
        <v>82.0</v>
      </c>
      <c r="D120" s="3" t="s">
        <v>547</v>
      </c>
      <c r="E120" s="2">
        <f t="shared" si="1"/>
        <v>160</v>
      </c>
      <c r="F120" s="1" t="s">
        <v>543</v>
      </c>
      <c r="G120" s="1">
        <f t="shared" si="2"/>
        <v>40000000</v>
      </c>
      <c r="H120" s="1" t="s">
        <v>460</v>
      </c>
      <c r="I120" s="1">
        <f t="shared" si="3"/>
        <v>4700000</v>
      </c>
      <c r="J120" s="4">
        <v>0.0881</v>
      </c>
      <c r="K120" s="1" t="s">
        <v>379</v>
      </c>
      <c r="L120" s="1">
        <f t="shared" si="4"/>
        <v>4000000</v>
      </c>
      <c r="M120" s="1" t="s">
        <v>548</v>
      </c>
      <c r="N120" s="1">
        <f t="shared" si="5"/>
        <v>773500000</v>
      </c>
      <c r="O120" s="1" t="s">
        <v>28</v>
      </c>
    </row>
    <row r="121">
      <c r="A121" s="1">
        <v>120.0</v>
      </c>
      <c r="B121" s="1" t="s">
        <v>549</v>
      </c>
      <c r="C121" s="1">
        <v>85.0</v>
      </c>
      <c r="D121" s="3" t="s">
        <v>177</v>
      </c>
      <c r="E121" s="2">
        <f t="shared" si="1"/>
        <v>5200</v>
      </c>
      <c r="F121" s="1" t="s">
        <v>550</v>
      </c>
      <c r="G121" s="1">
        <f t="shared" si="2"/>
        <v>39900000</v>
      </c>
      <c r="H121" s="1" t="s">
        <v>551</v>
      </c>
      <c r="I121" s="1">
        <f t="shared" si="3"/>
        <v>579600</v>
      </c>
      <c r="J121" s="4">
        <v>0.0057</v>
      </c>
      <c r="K121" s="1" t="s">
        <v>552</v>
      </c>
      <c r="L121" s="1">
        <f t="shared" si="4"/>
        <v>259400</v>
      </c>
      <c r="M121" s="1" t="s">
        <v>87</v>
      </c>
      <c r="N121" s="1">
        <f t="shared" si="5"/>
        <v>3000000000</v>
      </c>
      <c r="O121" s="1" t="s">
        <v>130</v>
      </c>
    </row>
    <row r="122">
      <c r="A122" s="1">
        <v>121.0</v>
      </c>
      <c r="B122" s="1" t="s">
        <v>553</v>
      </c>
      <c r="C122" s="1">
        <v>78.0</v>
      </c>
      <c r="D122" s="3" t="s">
        <v>100</v>
      </c>
      <c r="E122" s="2">
        <f t="shared" si="1"/>
        <v>3200</v>
      </c>
      <c r="F122" s="1" t="s">
        <v>550</v>
      </c>
      <c r="G122" s="1">
        <f t="shared" si="2"/>
        <v>39900000</v>
      </c>
      <c r="H122" s="1" t="s">
        <v>421</v>
      </c>
      <c r="I122" s="1">
        <f t="shared" si="3"/>
        <v>3000000</v>
      </c>
      <c r="J122" s="4">
        <v>0.0571</v>
      </c>
      <c r="K122" s="1" t="s">
        <v>554</v>
      </c>
      <c r="L122" s="1">
        <f t="shared" si="4"/>
        <v>2600000</v>
      </c>
      <c r="M122" s="1" t="s">
        <v>555</v>
      </c>
      <c r="N122" s="1">
        <f t="shared" si="5"/>
        <v>9600000000</v>
      </c>
      <c r="O122" s="1" t="s">
        <v>28</v>
      </c>
    </row>
    <row r="123">
      <c r="A123" s="1">
        <v>122.0</v>
      </c>
      <c r="B123" s="1" t="s">
        <v>556</v>
      </c>
      <c r="C123" s="1">
        <v>82.0</v>
      </c>
      <c r="D123" s="3" t="s">
        <v>100</v>
      </c>
      <c r="E123" s="2">
        <f t="shared" si="1"/>
        <v>3200</v>
      </c>
      <c r="F123" s="1" t="s">
        <v>557</v>
      </c>
      <c r="G123" s="1">
        <f t="shared" si="2"/>
        <v>39200000</v>
      </c>
      <c r="H123" s="1" t="s">
        <v>155</v>
      </c>
      <c r="I123" s="1">
        <f t="shared" si="3"/>
        <v>1100000</v>
      </c>
      <c r="J123" s="4">
        <v>0.0069</v>
      </c>
      <c r="K123" s="1" t="s">
        <v>558</v>
      </c>
      <c r="L123" s="1">
        <f t="shared" si="4"/>
        <v>311500</v>
      </c>
      <c r="M123" s="1" t="s">
        <v>256</v>
      </c>
      <c r="N123" s="1">
        <f t="shared" si="5"/>
        <v>3500000000</v>
      </c>
      <c r="O123" s="1" t="s">
        <v>28</v>
      </c>
    </row>
    <row r="124">
      <c r="A124" s="1">
        <v>123.0</v>
      </c>
      <c r="B124" s="1" t="s">
        <v>559</v>
      </c>
      <c r="C124" s="1">
        <v>80.0</v>
      </c>
      <c r="D124" s="3" t="s">
        <v>560</v>
      </c>
      <c r="E124" s="2">
        <f t="shared" si="1"/>
        <v>20</v>
      </c>
      <c r="F124" s="1" t="s">
        <v>557</v>
      </c>
      <c r="G124" s="1">
        <f t="shared" si="2"/>
        <v>39200000</v>
      </c>
      <c r="H124" s="1" t="s">
        <v>561</v>
      </c>
      <c r="I124" s="1">
        <f t="shared" si="3"/>
        <v>652500</v>
      </c>
      <c r="J124" s="4">
        <v>0.01</v>
      </c>
      <c r="K124" s="1" t="s">
        <v>562</v>
      </c>
      <c r="L124" s="1">
        <f t="shared" si="4"/>
        <v>455300</v>
      </c>
      <c r="M124" s="1" t="s">
        <v>563</v>
      </c>
      <c r="N124" s="1">
        <f t="shared" si="5"/>
        <v>18300000</v>
      </c>
      <c r="O124" s="1" t="s">
        <v>564</v>
      </c>
    </row>
    <row r="125">
      <c r="A125" s="1">
        <v>124.0</v>
      </c>
      <c r="B125" s="1" t="s">
        <v>565</v>
      </c>
      <c r="C125" s="1">
        <v>82.0</v>
      </c>
      <c r="D125" s="3" t="s">
        <v>566</v>
      </c>
      <c r="E125" s="2">
        <f t="shared" si="1"/>
        <v>16900</v>
      </c>
      <c r="F125" s="1" t="s">
        <v>567</v>
      </c>
      <c r="G125" s="1">
        <f t="shared" si="2"/>
        <v>39100000</v>
      </c>
      <c r="H125" s="1" t="s">
        <v>568</v>
      </c>
      <c r="I125" s="1">
        <f t="shared" si="3"/>
        <v>189900</v>
      </c>
      <c r="J125" s="4">
        <v>0.0012</v>
      </c>
      <c r="K125" s="1" t="s">
        <v>569</v>
      </c>
      <c r="L125" s="1">
        <f t="shared" si="4"/>
        <v>52800</v>
      </c>
      <c r="M125" s="1" t="s">
        <v>570</v>
      </c>
      <c r="N125" s="1">
        <f t="shared" si="5"/>
        <v>3200000000</v>
      </c>
      <c r="O125" s="1" t="s">
        <v>28</v>
      </c>
    </row>
    <row r="126">
      <c r="A126" s="1">
        <v>125.0</v>
      </c>
      <c r="B126" s="1" t="s">
        <v>571</v>
      </c>
      <c r="C126" s="1">
        <v>85.0</v>
      </c>
      <c r="D126" s="3" t="s">
        <v>36</v>
      </c>
      <c r="E126" s="2">
        <f t="shared" si="1"/>
        <v>1800</v>
      </c>
      <c r="F126" s="1" t="s">
        <v>567</v>
      </c>
      <c r="G126" s="1">
        <f t="shared" si="2"/>
        <v>39100000</v>
      </c>
      <c r="H126" s="1" t="s">
        <v>572</v>
      </c>
      <c r="I126" s="1">
        <f t="shared" si="3"/>
        <v>431200</v>
      </c>
      <c r="J126" s="4">
        <v>0.0044</v>
      </c>
      <c r="K126" s="1" t="s">
        <v>573</v>
      </c>
      <c r="L126" s="1">
        <f t="shared" si="4"/>
        <v>199800</v>
      </c>
      <c r="M126" s="1" t="s">
        <v>574</v>
      </c>
      <c r="N126" s="1">
        <f t="shared" si="5"/>
        <v>784000000</v>
      </c>
      <c r="O126" s="1" t="s">
        <v>28</v>
      </c>
    </row>
    <row r="127">
      <c r="A127" s="1">
        <v>126.0</v>
      </c>
      <c r="B127" s="1" t="s">
        <v>575</v>
      </c>
      <c r="C127" s="1">
        <v>84.0</v>
      </c>
      <c r="D127" s="3" t="s">
        <v>472</v>
      </c>
      <c r="E127" s="2">
        <f t="shared" si="1"/>
        <v>1100</v>
      </c>
      <c r="F127" s="1" t="s">
        <v>576</v>
      </c>
      <c r="G127" s="1">
        <f t="shared" si="2"/>
        <v>39000000</v>
      </c>
      <c r="H127" s="1" t="s">
        <v>155</v>
      </c>
      <c r="I127" s="1">
        <f t="shared" si="3"/>
        <v>1100000</v>
      </c>
      <c r="J127" s="4">
        <v>0.0276</v>
      </c>
      <c r="K127" s="1" t="s">
        <v>165</v>
      </c>
      <c r="L127" s="1">
        <f t="shared" si="4"/>
        <v>1200000</v>
      </c>
      <c r="M127" s="1" t="s">
        <v>577</v>
      </c>
      <c r="N127" s="1">
        <f t="shared" si="5"/>
        <v>1200000000</v>
      </c>
      <c r="O127" s="1" t="s">
        <v>28</v>
      </c>
    </row>
    <row r="128">
      <c r="A128" s="1">
        <v>127.0</v>
      </c>
      <c r="B128" s="1" t="s">
        <v>578</v>
      </c>
      <c r="C128" s="1">
        <v>86.0</v>
      </c>
      <c r="D128" s="3" t="s">
        <v>579</v>
      </c>
      <c r="E128" s="2">
        <f t="shared" si="1"/>
        <v>680</v>
      </c>
      <c r="F128" s="1" t="s">
        <v>580</v>
      </c>
      <c r="G128" s="1">
        <f t="shared" si="2"/>
        <v>38900000</v>
      </c>
      <c r="H128" s="1" t="s">
        <v>103</v>
      </c>
      <c r="I128" s="1">
        <f t="shared" si="3"/>
        <v>1400000</v>
      </c>
      <c r="J128" s="4">
        <v>0.0261</v>
      </c>
      <c r="K128" s="1" t="s">
        <v>165</v>
      </c>
      <c r="L128" s="1">
        <f t="shared" si="4"/>
        <v>1200000</v>
      </c>
      <c r="M128" s="1" t="s">
        <v>581</v>
      </c>
      <c r="N128" s="1">
        <f t="shared" si="5"/>
        <v>925700000</v>
      </c>
      <c r="O128" s="1" t="s">
        <v>28</v>
      </c>
    </row>
    <row r="129">
      <c r="A129" s="1">
        <v>128.0</v>
      </c>
      <c r="B129" s="1" t="s">
        <v>582</v>
      </c>
      <c r="C129" s="1">
        <v>42.0</v>
      </c>
      <c r="D129" s="3" t="s">
        <v>237</v>
      </c>
      <c r="E129" s="2">
        <f t="shared" si="1"/>
        <v>1500</v>
      </c>
      <c r="F129" s="1" t="s">
        <v>583</v>
      </c>
      <c r="G129" s="1">
        <f t="shared" si="2"/>
        <v>38800000</v>
      </c>
      <c r="H129" s="1" t="s">
        <v>584</v>
      </c>
      <c r="I129" s="1">
        <f t="shared" si="3"/>
        <v>553000</v>
      </c>
      <c r="J129" s="4">
        <v>0.0067</v>
      </c>
      <c r="K129" s="1" t="s">
        <v>585</v>
      </c>
      <c r="L129" s="1">
        <f t="shared" si="4"/>
        <v>294100</v>
      </c>
      <c r="M129" s="1" t="s">
        <v>586</v>
      </c>
      <c r="N129" s="1">
        <f t="shared" si="5"/>
        <v>820100000</v>
      </c>
      <c r="O129" s="1" t="s">
        <v>130</v>
      </c>
    </row>
    <row r="130">
      <c r="A130" s="1">
        <v>129.0</v>
      </c>
      <c r="B130" s="1" t="s">
        <v>587</v>
      </c>
      <c r="C130" s="1">
        <v>85.0</v>
      </c>
      <c r="D130" s="3" t="s">
        <v>588</v>
      </c>
      <c r="E130" s="2">
        <f t="shared" si="1"/>
        <v>970</v>
      </c>
      <c r="F130" s="1" t="s">
        <v>589</v>
      </c>
      <c r="G130" s="1">
        <f t="shared" si="2"/>
        <v>38700000</v>
      </c>
      <c r="H130" s="1" t="s">
        <v>590</v>
      </c>
      <c r="I130" s="1">
        <f t="shared" si="3"/>
        <v>801800</v>
      </c>
      <c r="J130" s="4">
        <v>0.0096</v>
      </c>
      <c r="K130" s="1" t="s">
        <v>591</v>
      </c>
      <c r="L130" s="1">
        <f t="shared" si="4"/>
        <v>414800</v>
      </c>
      <c r="M130" s="1" t="s">
        <v>592</v>
      </c>
      <c r="N130" s="1">
        <f t="shared" si="5"/>
        <v>782500000</v>
      </c>
      <c r="O130" s="1" t="s">
        <v>28</v>
      </c>
    </row>
    <row r="131">
      <c r="A131" s="1">
        <v>130.0</v>
      </c>
      <c r="B131" s="1" t="s">
        <v>593</v>
      </c>
      <c r="C131" s="1">
        <v>76.0</v>
      </c>
      <c r="D131" s="3" t="s">
        <v>594</v>
      </c>
      <c r="E131" s="2">
        <f t="shared" si="1"/>
        <v>4900</v>
      </c>
      <c r="F131" s="1" t="s">
        <v>595</v>
      </c>
      <c r="G131" s="1">
        <f t="shared" si="2"/>
        <v>38500000</v>
      </c>
      <c r="H131" s="1" t="s">
        <v>596</v>
      </c>
      <c r="I131" s="1">
        <f t="shared" si="3"/>
        <v>475100</v>
      </c>
      <c r="J131" s="4">
        <v>0.0071</v>
      </c>
      <c r="K131" s="1" t="s">
        <v>597</v>
      </c>
      <c r="L131" s="1">
        <f t="shared" si="4"/>
        <v>303900</v>
      </c>
      <c r="M131" s="1" t="s">
        <v>205</v>
      </c>
      <c r="N131" s="1">
        <f t="shared" si="5"/>
        <v>2300000000</v>
      </c>
      <c r="O131" s="1" t="s">
        <v>130</v>
      </c>
    </row>
    <row r="132">
      <c r="A132" s="1">
        <v>131.0</v>
      </c>
      <c r="B132" s="1" t="s">
        <v>598</v>
      </c>
      <c r="C132" s="1">
        <v>84.0</v>
      </c>
      <c r="D132" s="3" t="s">
        <v>148</v>
      </c>
      <c r="E132" s="2">
        <f t="shared" si="1"/>
        <v>1600</v>
      </c>
      <c r="F132" s="1" t="s">
        <v>599</v>
      </c>
      <c r="G132" s="1">
        <f t="shared" si="2"/>
        <v>38300000</v>
      </c>
      <c r="H132" s="1" t="s">
        <v>118</v>
      </c>
      <c r="I132" s="1">
        <f t="shared" si="3"/>
        <v>1300000</v>
      </c>
      <c r="J132" s="4">
        <v>0.0218</v>
      </c>
      <c r="K132" s="1" t="s">
        <v>600</v>
      </c>
      <c r="L132" s="1">
        <f t="shared" si="4"/>
        <v>944300</v>
      </c>
      <c r="M132" s="1" t="s">
        <v>362</v>
      </c>
      <c r="N132" s="1">
        <f t="shared" si="5"/>
        <v>2200000000</v>
      </c>
      <c r="O132" s="1" t="s">
        <v>28</v>
      </c>
    </row>
    <row r="133">
      <c r="A133" s="1">
        <v>132.0</v>
      </c>
      <c r="B133" s="1" t="s">
        <v>601</v>
      </c>
      <c r="C133" s="1">
        <v>84.0</v>
      </c>
      <c r="D133" s="3" t="s">
        <v>241</v>
      </c>
      <c r="E133" s="2">
        <f t="shared" si="1"/>
        <v>1900</v>
      </c>
      <c r="F133" s="1" t="s">
        <v>599</v>
      </c>
      <c r="G133" s="1">
        <f t="shared" si="2"/>
        <v>38300000</v>
      </c>
      <c r="H133" s="1" t="s">
        <v>155</v>
      </c>
      <c r="I133" s="1">
        <f t="shared" si="3"/>
        <v>1100000</v>
      </c>
      <c r="J133" s="4">
        <v>0.0148</v>
      </c>
      <c r="K133" s="1" t="s">
        <v>602</v>
      </c>
      <c r="L133" s="1">
        <f t="shared" si="4"/>
        <v>640500</v>
      </c>
      <c r="M133" s="1" t="s">
        <v>232</v>
      </c>
      <c r="N133" s="1">
        <f t="shared" si="5"/>
        <v>2000000000</v>
      </c>
      <c r="O133" s="1" t="s">
        <v>257</v>
      </c>
    </row>
    <row r="134">
      <c r="A134" s="1">
        <v>133.0</v>
      </c>
      <c r="B134" s="1" t="s">
        <v>603</v>
      </c>
      <c r="C134" s="1">
        <v>85.0</v>
      </c>
      <c r="D134" s="3" t="s">
        <v>604</v>
      </c>
      <c r="E134" s="2">
        <f t="shared" si="1"/>
        <v>580</v>
      </c>
      <c r="F134" s="1" t="s">
        <v>605</v>
      </c>
      <c r="G134" s="1">
        <f t="shared" si="2"/>
        <v>38100000</v>
      </c>
      <c r="H134" s="1" t="s">
        <v>215</v>
      </c>
      <c r="I134" s="1">
        <f t="shared" si="3"/>
        <v>1600000</v>
      </c>
      <c r="J134" s="4">
        <v>0.0382</v>
      </c>
      <c r="K134" s="1" t="s">
        <v>215</v>
      </c>
      <c r="L134" s="1">
        <f t="shared" si="4"/>
        <v>1600000</v>
      </c>
      <c r="M134" s="1" t="s">
        <v>606</v>
      </c>
      <c r="N134" s="1">
        <f t="shared" si="5"/>
        <v>949900000</v>
      </c>
      <c r="O134" s="1" t="s">
        <v>607</v>
      </c>
    </row>
    <row r="135">
      <c r="A135" s="1">
        <v>134.0</v>
      </c>
      <c r="B135" s="1" t="s">
        <v>608</v>
      </c>
      <c r="C135" s="1">
        <v>81.0</v>
      </c>
      <c r="D135" s="3" t="s">
        <v>83</v>
      </c>
      <c r="E135" s="2">
        <f t="shared" si="1"/>
        <v>10000</v>
      </c>
      <c r="F135" s="1" t="s">
        <v>609</v>
      </c>
      <c r="G135" s="1">
        <f t="shared" si="2"/>
        <v>37400000</v>
      </c>
      <c r="H135" s="1" t="s">
        <v>610</v>
      </c>
      <c r="I135" s="1">
        <f t="shared" si="3"/>
        <v>381600</v>
      </c>
      <c r="J135" s="4">
        <v>0.0033</v>
      </c>
      <c r="K135" s="1" t="s">
        <v>611</v>
      </c>
      <c r="L135" s="1">
        <f t="shared" si="4"/>
        <v>139300</v>
      </c>
      <c r="M135" s="1" t="s">
        <v>333</v>
      </c>
      <c r="N135" s="1">
        <f t="shared" si="5"/>
        <v>3800000000</v>
      </c>
      <c r="O135" s="1" t="s">
        <v>336</v>
      </c>
    </row>
    <row r="136">
      <c r="A136" s="1">
        <v>135.0</v>
      </c>
      <c r="B136" s="1" t="s">
        <v>612</v>
      </c>
      <c r="C136" s="1">
        <v>85.0</v>
      </c>
      <c r="D136" s="3" t="s">
        <v>494</v>
      </c>
      <c r="E136" s="2">
        <f t="shared" si="1"/>
        <v>8900</v>
      </c>
      <c r="F136" s="1" t="s">
        <v>609</v>
      </c>
      <c r="G136" s="1">
        <f t="shared" si="2"/>
        <v>37400000</v>
      </c>
      <c r="H136" s="1" t="s">
        <v>613</v>
      </c>
      <c r="I136" s="1">
        <f t="shared" si="3"/>
        <v>65100</v>
      </c>
      <c r="J136" s="4">
        <v>2.0E-4</v>
      </c>
      <c r="K136" s="1" t="s">
        <v>614</v>
      </c>
      <c r="L136" s="1">
        <f t="shared" si="4"/>
        <v>7700</v>
      </c>
      <c r="M136" s="1" t="s">
        <v>615</v>
      </c>
      <c r="N136" s="1">
        <f t="shared" si="5"/>
        <v>580700000</v>
      </c>
      <c r="O136" s="1" t="s">
        <v>21</v>
      </c>
    </row>
    <row r="137">
      <c r="A137" s="1">
        <v>136.0</v>
      </c>
      <c r="B137" s="1" t="s">
        <v>616</v>
      </c>
      <c r="C137" s="1">
        <v>84.0</v>
      </c>
      <c r="D137" s="3" t="s">
        <v>617</v>
      </c>
      <c r="E137" s="2">
        <f t="shared" si="1"/>
        <v>3000</v>
      </c>
      <c r="F137" s="1" t="s">
        <v>618</v>
      </c>
      <c r="G137" s="1">
        <f t="shared" si="2"/>
        <v>366200000</v>
      </c>
      <c r="H137" s="1" t="s">
        <v>619</v>
      </c>
      <c r="I137" s="1">
        <f t="shared" si="3"/>
        <v>969700</v>
      </c>
      <c r="J137" s="4">
        <v>0.0105</v>
      </c>
      <c r="K137" s="1" t="s">
        <v>620</v>
      </c>
      <c r="L137" s="1">
        <f t="shared" si="4"/>
        <v>444200</v>
      </c>
      <c r="M137" s="1" t="s">
        <v>340</v>
      </c>
      <c r="N137" s="1">
        <f t="shared" si="5"/>
        <v>2900000000</v>
      </c>
      <c r="O137" s="1" t="s">
        <v>28</v>
      </c>
    </row>
    <row r="138">
      <c r="A138" s="1">
        <v>137.0</v>
      </c>
      <c r="B138" s="1" t="s">
        <v>621</v>
      </c>
      <c r="C138" s="1">
        <v>86.0</v>
      </c>
      <c r="D138" s="3" t="s">
        <v>116</v>
      </c>
      <c r="E138" s="2">
        <f t="shared" si="1"/>
        <v>4400</v>
      </c>
      <c r="F138" s="1" t="s">
        <v>622</v>
      </c>
      <c r="G138" s="1">
        <f t="shared" si="2"/>
        <v>36900000</v>
      </c>
      <c r="H138" s="1" t="s">
        <v>623</v>
      </c>
      <c r="I138" s="1">
        <f t="shared" si="3"/>
        <v>790200</v>
      </c>
      <c r="J138" s="4">
        <v>0.0043</v>
      </c>
      <c r="K138" s="1" t="s">
        <v>624</v>
      </c>
      <c r="L138" s="1">
        <f t="shared" si="4"/>
        <v>181000</v>
      </c>
      <c r="M138" s="1" t="s">
        <v>256</v>
      </c>
      <c r="N138" s="1">
        <f t="shared" si="5"/>
        <v>3500000000</v>
      </c>
      <c r="O138" s="1" t="s">
        <v>28</v>
      </c>
    </row>
    <row r="139">
      <c r="A139" s="1">
        <v>138.0</v>
      </c>
      <c r="B139" s="1" t="s">
        <v>625</v>
      </c>
      <c r="C139" s="1">
        <v>83.0</v>
      </c>
      <c r="D139" s="3" t="s">
        <v>89</v>
      </c>
      <c r="E139" s="2">
        <f t="shared" si="1"/>
        <v>950</v>
      </c>
      <c r="F139" s="1" t="s">
        <v>626</v>
      </c>
      <c r="G139" s="1">
        <f t="shared" si="2"/>
        <v>36500000</v>
      </c>
      <c r="H139" s="1" t="s">
        <v>627</v>
      </c>
      <c r="I139" s="1">
        <f t="shared" si="3"/>
        <v>736400</v>
      </c>
      <c r="J139" s="4">
        <v>0.0149</v>
      </c>
      <c r="K139" s="1" t="s">
        <v>628</v>
      </c>
      <c r="L139" s="1">
        <f t="shared" si="4"/>
        <v>624500</v>
      </c>
      <c r="M139" s="1" t="s">
        <v>629</v>
      </c>
      <c r="N139" s="1">
        <f t="shared" si="5"/>
        <v>710700000</v>
      </c>
      <c r="O139" s="1" t="s">
        <v>28</v>
      </c>
    </row>
    <row r="140">
      <c r="A140" s="1">
        <v>139.0</v>
      </c>
      <c r="B140" s="1" t="s">
        <v>630</v>
      </c>
      <c r="C140" s="1">
        <v>83.0</v>
      </c>
      <c r="D140" s="3" t="s">
        <v>631</v>
      </c>
      <c r="E140" s="2">
        <f t="shared" si="1"/>
        <v>10</v>
      </c>
      <c r="F140" s="1" t="s">
        <v>626</v>
      </c>
      <c r="G140" s="1">
        <f t="shared" si="2"/>
        <v>36500000</v>
      </c>
      <c r="H140" s="1" t="s">
        <v>56</v>
      </c>
      <c r="I140" s="1">
        <f t="shared" si="3"/>
        <v>3700000</v>
      </c>
      <c r="J140" s="4">
        <v>0.1309</v>
      </c>
      <c r="K140" s="1" t="s">
        <v>284</v>
      </c>
      <c r="L140" s="1">
        <f t="shared" si="4"/>
        <v>5400000</v>
      </c>
      <c r="M140" s="1" t="s">
        <v>632</v>
      </c>
      <c r="N140" s="1">
        <f t="shared" si="5"/>
        <v>67500000</v>
      </c>
      <c r="O140" s="1" t="s">
        <v>28</v>
      </c>
    </row>
    <row r="141">
      <c r="A141" s="1">
        <v>140.0</v>
      </c>
      <c r="B141" s="1" t="s">
        <v>633</v>
      </c>
      <c r="C141" s="1">
        <v>80.0</v>
      </c>
      <c r="D141" s="3" t="s">
        <v>617</v>
      </c>
      <c r="E141" s="2">
        <f t="shared" si="1"/>
        <v>3000</v>
      </c>
      <c r="F141" s="1" t="s">
        <v>634</v>
      </c>
      <c r="G141" s="1">
        <f t="shared" si="2"/>
        <v>36400000</v>
      </c>
      <c r="H141" s="1" t="s">
        <v>635</v>
      </c>
      <c r="I141" s="1">
        <f t="shared" si="3"/>
        <v>513100</v>
      </c>
      <c r="J141" s="4">
        <v>0.0055</v>
      </c>
      <c r="K141" s="1" t="s">
        <v>636</v>
      </c>
      <c r="L141" s="1">
        <f t="shared" si="4"/>
        <v>221700</v>
      </c>
      <c r="M141" s="1" t="s">
        <v>124</v>
      </c>
      <c r="N141" s="1">
        <f t="shared" si="5"/>
        <v>1600000000</v>
      </c>
      <c r="O141" s="1" t="s">
        <v>307</v>
      </c>
    </row>
    <row r="142">
      <c r="A142" s="1">
        <v>141.0</v>
      </c>
      <c r="B142" s="1" t="s">
        <v>637</v>
      </c>
      <c r="C142" s="1">
        <v>83.0</v>
      </c>
      <c r="D142" s="3" t="s">
        <v>560</v>
      </c>
      <c r="E142" s="2">
        <f t="shared" si="1"/>
        <v>20</v>
      </c>
      <c r="F142" s="1" t="s">
        <v>638</v>
      </c>
      <c r="G142" s="1">
        <f t="shared" si="2"/>
        <v>36000000</v>
      </c>
      <c r="H142" s="1" t="s">
        <v>639</v>
      </c>
      <c r="I142" s="1">
        <f t="shared" si="3"/>
        <v>14200000</v>
      </c>
      <c r="J142" s="4">
        <v>0.2641</v>
      </c>
      <c r="K142" s="1" t="s">
        <v>640</v>
      </c>
      <c r="L142" s="1">
        <f t="shared" si="4"/>
        <v>11000000</v>
      </c>
      <c r="M142" s="1" t="s">
        <v>641</v>
      </c>
      <c r="N142" s="1">
        <f t="shared" si="5"/>
        <v>368100000</v>
      </c>
      <c r="O142" s="1" t="s">
        <v>28</v>
      </c>
    </row>
    <row r="143">
      <c r="A143" s="1">
        <v>142.0</v>
      </c>
      <c r="B143" s="1" t="s">
        <v>642</v>
      </c>
      <c r="C143" s="1">
        <v>73.0</v>
      </c>
      <c r="D143" s="3" t="s">
        <v>106</v>
      </c>
      <c r="E143" s="2">
        <f t="shared" si="1"/>
        <v>1400</v>
      </c>
      <c r="F143" s="1" t="s">
        <v>643</v>
      </c>
      <c r="G143" s="1">
        <f t="shared" si="2"/>
        <v>357300000</v>
      </c>
      <c r="H143" s="1" t="s">
        <v>113</v>
      </c>
      <c r="I143" s="1">
        <f t="shared" si="3"/>
        <v>1000000</v>
      </c>
      <c r="J143" s="4">
        <v>0.0198</v>
      </c>
      <c r="K143" s="1" t="s">
        <v>644</v>
      </c>
      <c r="L143" s="1">
        <f t="shared" si="4"/>
        <v>818600</v>
      </c>
      <c r="M143" s="1" t="s">
        <v>135</v>
      </c>
      <c r="N143" s="1">
        <f t="shared" si="5"/>
        <v>1500000000</v>
      </c>
      <c r="O143" s="1" t="s">
        <v>130</v>
      </c>
    </row>
    <row r="144">
      <c r="A144" s="1">
        <v>143.0</v>
      </c>
      <c r="B144" s="1" t="s">
        <v>645</v>
      </c>
      <c r="C144" s="1">
        <v>83.0</v>
      </c>
      <c r="D144" s="3" t="s">
        <v>202</v>
      </c>
      <c r="E144" s="2">
        <f t="shared" si="1"/>
        <v>1700</v>
      </c>
      <c r="F144" s="1" t="s">
        <v>646</v>
      </c>
      <c r="G144" s="1">
        <f t="shared" si="2"/>
        <v>35900000</v>
      </c>
      <c r="H144" s="1" t="s">
        <v>103</v>
      </c>
      <c r="I144" s="1">
        <f t="shared" si="3"/>
        <v>1400000</v>
      </c>
      <c r="J144" s="4">
        <v>0.0176</v>
      </c>
      <c r="K144" s="1" t="s">
        <v>647</v>
      </c>
      <c r="L144" s="1">
        <f t="shared" si="4"/>
        <v>727500</v>
      </c>
      <c r="M144" s="1" t="s">
        <v>205</v>
      </c>
      <c r="N144" s="1">
        <f t="shared" si="5"/>
        <v>2300000000</v>
      </c>
      <c r="O144" s="1" t="s">
        <v>648</v>
      </c>
    </row>
    <row r="145">
      <c r="A145" s="1">
        <v>144.0</v>
      </c>
      <c r="B145" s="1" t="s">
        <v>649</v>
      </c>
      <c r="C145" s="1">
        <v>83.0</v>
      </c>
      <c r="D145" s="3" t="s">
        <v>650</v>
      </c>
      <c r="E145" s="2">
        <f t="shared" si="1"/>
        <v>670</v>
      </c>
      <c r="F145" s="1" t="s">
        <v>646</v>
      </c>
      <c r="G145" s="1">
        <f t="shared" si="2"/>
        <v>35900000</v>
      </c>
      <c r="H145" s="1" t="s">
        <v>155</v>
      </c>
      <c r="I145" s="1">
        <f t="shared" si="3"/>
        <v>1100000</v>
      </c>
      <c r="J145" s="4">
        <v>0.0397</v>
      </c>
      <c r="K145" s="1" t="s">
        <v>215</v>
      </c>
      <c r="L145" s="1">
        <f t="shared" si="4"/>
        <v>1600000</v>
      </c>
      <c r="M145" s="1" t="s">
        <v>651</v>
      </c>
      <c r="N145" s="1">
        <f t="shared" si="5"/>
        <v>767000000</v>
      </c>
      <c r="O145" s="1" t="s">
        <v>28</v>
      </c>
    </row>
    <row r="146">
      <c r="A146" s="1">
        <v>145.0</v>
      </c>
      <c r="B146" s="1" t="s">
        <v>652</v>
      </c>
      <c r="C146" s="1">
        <v>85.0</v>
      </c>
      <c r="D146" s="3" t="s">
        <v>653</v>
      </c>
      <c r="E146" s="2">
        <f t="shared" si="1"/>
        <v>9700</v>
      </c>
      <c r="F146" s="1" t="s">
        <v>654</v>
      </c>
      <c r="G146" s="1">
        <f t="shared" si="2"/>
        <v>35600000</v>
      </c>
      <c r="H146" s="1" t="s">
        <v>655</v>
      </c>
      <c r="I146" s="1">
        <f t="shared" si="3"/>
        <v>88800</v>
      </c>
      <c r="J146" s="4">
        <v>0.0016</v>
      </c>
      <c r="K146" s="1" t="s">
        <v>656</v>
      </c>
      <c r="L146" s="1">
        <f t="shared" si="4"/>
        <v>63600</v>
      </c>
      <c r="M146" s="1" t="s">
        <v>657</v>
      </c>
      <c r="N146" s="1">
        <f t="shared" si="5"/>
        <v>863000000</v>
      </c>
      <c r="O146" s="1" t="s">
        <v>28</v>
      </c>
    </row>
    <row r="147">
      <c r="A147" s="1">
        <v>146.0</v>
      </c>
      <c r="B147" s="1" t="s">
        <v>658</v>
      </c>
      <c r="C147" s="1">
        <v>85.0</v>
      </c>
      <c r="D147" s="3" t="s">
        <v>36</v>
      </c>
      <c r="E147" s="2">
        <f t="shared" si="1"/>
        <v>1800</v>
      </c>
      <c r="F147" s="1" t="s">
        <v>654</v>
      </c>
      <c r="G147" s="1">
        <f t="shared" si="2"/>
        <v>35600000</v>
      </c>
      <c r="H147" s="1" t="s">
        <v>113</v>
      </c>
      <c r="I147" s="1">
        <f t="shared" si="3"/>
        <v>1000000</v>
      </c>
      <c r="J147" s="4">
        <v>0.0076</v>
      </c>
      <c r="K147" s="1" t="s">
        <v>659</v>
      </c>
      <c r="L147" s="1">
        <f t="shared" si="4"/>
        <v>299300</v>
      </c>
      <c r="M147" s="1" t="s">
        <v>386</v>
      </c>
      <c r="N147" s="1">
        <f t="shared" si="5"/>
        <v>1800000000</v>
      </c>
      <c r="O147" s="1" t="s">
        <v>660</v>
      </c>
    </row>
    <row r="148">
      <c r="A148" s="1">
        <v>147.0</v>
      </c>
      <c r="B148" s="1" t="s">
        <v>661</v>
      </c>
      <c r="C148" s="1">
        <v>81.0</v>
      </c>
      <c r="D148" s="3" t="s">
        <v>431</v>
      </c>
      <c r="E148" s="2">
        <f t="shared" si="1"/>
        <v>2100</v>
      </c>
      <c r="F148" s="1" t="s">
        <v>662</v>
      </c>
      <c r="G148" s="1">
        <f t="shared" si="2"/>
        <v>35500000</v>
      </c>
      <c r="H148" s="1" t="s">
        <v>663</v>
      </c>
      <c r="I148" s="1">
        <f t="shared" si="3"/>
        <v>586400</v>
      </c>
      <c r="J148" s="4">
        <v>1.0E-4</v>
      </c>
      <c r="K148" s="1">
        <v>0.0</v>
      </c>
      <c r="L148" s="1">
        <f t="shared" si="4"/>
        <v>0</v>
      </c>
      <c r="M148" s="1" t="s">
        <v>577</v>
      </c>
      <c r="N148" s="1">
        <f t="shared" si="5"/>
        <v>1200000000</v>
      </c>
      <c r="O148" s="1" t="s">
        <v>130</v>
      </c>
    </row>
    <row r="149">
      <c r="A149" s="1">
        <v>148.0</v>
      </c>
      <c r="B149" s="1" t="s">
        <v>664</v>
      </c>
      <c r="C149" s="1">
        <v>85.0</v>
      </c>
      <c r="D149" s="3" t="s">
        <v>665</v>
      </c>
      <c r="E149" s="2">
        <f t="shared" si="1"/>
        <v>90</v>
      </c>
      <c r="F149" s="1" t="s">
        <v>666</v>
      </c>
      <c r="G149" s="1">
        <f t="shared" si="2"/>
        <v>35400000</v>
      </c>
      <c r="H149" s="1" t="s">
        <v>353</v>
      </c>
      <c r="I149" s="1">
        <f t="shared" si="3"/>
        <v>4600000</v>
      </c>
      <c r="J149" s="4">
        <v>0.0188</v>
      </c>
      <c r="K149" s="1" t="s">
        <v>667</v>
      </c>
      <c r="L149" s="1">
        <f t="shared" si="4"/>
        <v>731000</v>
      </c>
      <c r="M149" s="1" t="s">
        <v>668</v>
      </c>
      <c r="N149" s="1">
        <f t="shared" si="5"/>
        <v>452000000</v>
      </c>
      <c r="O149" s="1" t="s">
        <v>28</v>
      </c>
    </row>
    <row r="150">
      <c r="A150" s="1">
        <v>149.0</v>
      </c>
      <c r="B150" s="1" t="s">
        <v>669</v>
      </c>
      <c r="C150" s="1">
        <v>85.0</v>
      </c>
      <c r="D150" s="3" t="s">
        <v>670</v>
      </c>
      <c r="E150" s="2">
        <f t="shared" si="1"/>
        <v>300</v>
      </c>
      <c r="F150" s="1" t="s">
        <v>671</v>
      </c>
      <c r="G150" s="1">
        <f t="shared" si="2"/>
        <v>35300000</v>
      </c>
      <c r="H150" s="1" t="s">
        <v>150</v>
      </c>
      <c r="I150" s="1">
        <f t="shared" si="3"/>
        <v>3100000</v>
      </c>
      <c r="J150" s="4">
        <v>0.0249</v>
      </c>
      <c r="K150" s="1" t="s">
        <v>672</v>
      </c>
      <c r="L150" s="1">
        <f t="shared" si="4"/>
        <v>994400</v>
      </c>
      <c r="M150" s="1" t="s">
        <v>673</v>
      </c>
      <c r="N150" s="1">
        <f t="shared" si="5"/>
        <v>957900000</v>
      </c>
      <c r="O150" s="1" t="s">
        <v>28</v>
      </c>
    </row>
    <row r="151">
      <c r="A151" s="1">
        <v>150.0</v>
      </c>
      <c r="B151" s="1" t="s">
        <v>674</v>
      </c>
      <c r="C151" s="1">
        <v>85.0</v>
      </c>
      <c r="D151" s="3" t="s">
        <v>60</v>
      </c>
      <c r="E151" s="2">
        <f t="shared" si="1"/>
        <v>2000</v>
      </c>
      <c r="F151" s="1" t="s">
        <v>675</v>
      </c>
      <c r="G151" s="1">
        <f t="shared" si="2"/>
        <v>35000000</v>
      </c>
      <c r="H151" s="1" t="s">
        <v>676</v>
      </c>
      <c r="I151" s="1">
        <f t="shared" si="3"/>
        <v>250800</v>
      </c>
      <c r="J151" s="4">
        <v>0.0041</v>
      </c>
      <c r="K151" s="1" t="s">
        <v>677</v>
      </c>
      <c r="L151" s="1">
        <f t="shared" si="4"/>
        <v>161700</v>
      </c>
      <c r="M151" s="1" t="s">
        <v>678</v>
      </c>
      <c r="N151" s="1">
        <f t="shared" si="5"/>
        <v>500500000</v>
      </c>
      <c r="O151" s="1" t="s">
        <v>21</v>
      </c>
    </row>
    <row r="152">
      <c r="A152" s="1">
        <v>151.0</v>
      </c>
      <c r="B152" s="1" t="s">
        <v>679</v>
      </c>
      <c r="C152" s="1">
        <v>81.0</v>
      </c>
      <c r="D152" s="3" t="s">
        <v>680</v>
      </c>
      <c r="E152" s="2">
        <f t="shared" si="1"/>
        <v>4500</v>
      </c>
      <c r="F152" s="1" t="s">
        <v>681</v>
      </c>
      <c r="G152" s="1">
        <f t="shared" si="2"/>
        <v>342700000</v>
      </c>
      <c r="H152" s="1" t="s">
        <v>682</v>
      </c>
      <c r="I152" s="1">
        <f t="shared" si="3"/>
        <v>118300</v>
      </c>
      <c r="J152" s="4">
        <v>0.0022</v>
      </c>
      <c r="K152" s="1" t="s">
        <v>683</v>
      </c>
      <c r="L152" s="1">
        <f t="shared" si="4"/>
        <v>87400</v>
      </c>
      <c r="M152" s="1" t="s">
        <v>684</v>
      </c>
      <c r="N152" s="1">
        <f t="shared" si="5"/>
        <v>529900000</v>
      </c>
      <c r="O152" s="1" t="s">
        <v>323</v>
      </c>
    </row>
    <row r="153">
      <c r="A153" s="1">
        <v>152.0</v>
      </c>
      <c r="B153" s="1" t="s">
        <v>685</v>
      </c>
      <c r="C153" s="1">
        <v>75.0</v>
      </c>
      <c r="D153" s="3" t="s">
        <v>83</v>
      </c>
      <c r="E153" s="2">
        <f t="shared" si="1"/>
        <v>10000</v>
      </c>
      <c r="F153" s="1" t="s">
        <v>686</v>
      </c>
      <c r="G153" s="1">
        <f t="shared" si="2"/>
        <v>34800000</v>
      </c>
      <c r="H153" s="1" t="s">
        <v>687</v>
      </c>
      <c r="I153" s="1">
        <f t="shared" si="3"/>
        <v>346700</v>
      </c>
      <c r="J153" s="4">
        <v>0.0042</v>
      </c>
      <c r="K153" s="1" t="s">
        <v>688</v>
      </c>
      <c r="L153" s="1">
        <f t="shared" si="4"/>
        <v>162900</v>
      </c>
      <c r="M153" s="1" t="s">
        <v>256</v>
      </c>
      <c r="N153" s="1">
        <f t="shared" si="5"/>
        <v>3500000000</v>
      </c>
      <c r="O153" s="1" t="s">
        <v>200</v>
      </c>
    </row>
    <row r="154">
      <c r="A154" s="1">
        <v>153.0</v>
      </c>
      <c r="B154" s="1" t="s">
        <v>689</v>
      </c>
      <c r="C154" s="1">
        <v>80.0</v>
      </c>
      <c r="D154" s="3" t="s">
        <v>163</v>
      </c>
      <c r="E154" s="2">
        <f t="shared" si="1"/>
        <v>2300</v>
      </c>
      <c r="F154" s="1" t="s">
        <v>686</v>
      </c>
      <c r="G154" s="1">
        <f t="shared" si="2"/>
        <v>34800000</v>
      </c>
      <c r="H154" s="1" t="s">
        <v>690</v>
      </c>
      <c r="I154" s="1">
        <f t="shared" si="3"/>
        <v>715500</v>
      </c>
      <c r="J154" s="4">
        <v>0.0046</v>
      </c>
      <c r="K154" s="1" t="s">
        <v>691</v>
      </c>
      <c r="L154" s="1">
        <f t="shared" si="4"/>
        <v>181100</v>
      </c>
      <c r="M154" s="1" t="s">
        <v>301</v>
      </c>
      <c r="N154" s="1">
        <f t="shared" si="5"/>
        <v>1700000000</v>
      </c>
      <c r="O154" s="1" t="s">
        <v>28</v>
      </c>
    </row>
    <row r="155">
      <c r="A155" s="1">
        <v>154.0</v>
      </c>
      <c r="B155" s="1" t="s">
        <v>692</v>
      </c>
      <c r="C155" s="1">
        <v>78.0</v>
      </c>
      <c r="D155" s="3" t="s">
        <v>693</v>
      </c>
      <c r="E155" s="2">
        <f t="shared" si="1"/>
        <v>11600</v>
      </c>
      <c r="F155" s="1" t="s">
        <v>694</v>
      </c>
      <c r="G155" s="1">
        <f t="shared" si="2"/>
        <v>34700000</v>
      </c>
      <c r="H155" s="1" t="s">
        <v>695</v>
      </c>
      <c r="I155" s="1">
        <f t="shared" si="3"/>
        <v>157400</v>
      </c>
      <c r="J155" s="4">
        <v>0.0023</v>
      </c>
      <c r="K155" s="1" t="s">
        <v>696</v>
      </c>
      <c r="L155" s="1">
        <f t="shared" si="4"/>
        <v>84400</v>
      </c>
      <c r="M155" s="1" t="s">
        <v>386</v>
      </c>
      <c r="N155" s="1">
        <f t="shared" si="5"/>
        <v>1800000000</v>
      </c>
      <c r="O155" s="1" t="s">
        <v>28</v>
      </c>
    </row>
    <row r="156">
      <c r="A156" s="1">
        <v>155.0</v>
      </c>
      <c r="B156" s="1" t="s">
        <v>697</v>
      </c>
      <c r="C156" s="1">
        <v>84.0</v>
      </c>
      <c r="D156" s="3" t="s">
        <v>121</v>
      </c>
      <c r="E156" s="2">
        <f t="shared" si="1"/>
        <v>1200</v>
      </c>
      <c r="F156" s="1" t="s">
        <v>694</v>
      </c>
      <c r="G156" s="1">
        <f t="shared" si="2"/>
        <v>34700000</v>
      </c>
      <c r="H156" s="1" t="s">
        <v>698</v>
      </c>
      <c r="I156" s="1">
        <f t="shared" si="3"/>
        <v>486500</v>
      </c>
      <c r="J156" s="4">
        <v>0.0059</v>
      </c>
      <c r="K156" s="1" t="s">
        <v>699</v>
      </c>
      <c r="L156" s="1">
        <f t="shared" si="4"/>
        <v>227700</v>
      </c>
      <c r="M156" s="1" t="s">
        <v>700</v>
      </c>
      <c r="N156" s="1">
        <f t="shared" si="5"/>
        <v>563900000</v>
      </c>
      <c r="O156" s="1" t="s">
        <v>28</v>
      </c>
    </row>
    <row r="157">
      <c r="A157" s="1">
        <v>156.0</v>
      </c>
      <c r="B157" s="1" t="s">
        <v>701</v>
      </c>
      <c r="C157" s="1">
        <v>58.0</v>
      </c>
      <c r="D157" s="3" t="s">
        <v>702</v>
      </c>
      <c r="E157" s="2">
        <f t="shared" si="1"/>
        <v>100</v>
      </c>
      <c r="F157" s="1" t="s">
        <v>694</v>
      </c>
      <c r="G157" s="1">
        <f t="shared" si="2"/>
        <v>34700000</v>
      </c>
      <c r="H157" s="1" t="s">
        <v>296</v>
      </c>
      <c r="I157" s="1">
        <f t="shared" si="3"/>
        <v>4100000</v>
      </c>
      <c r="J157" s="4">
        <v>0.0017</v>
      </c>
      <c r="K157" s="1">
        <v>0.0</v>
      </c>
      <c r="L157" s="1">
        <f t="shared" si="4"/>
        <v>0</v>
      </c>
      <c r="M157" s="1" t="s">
        <v>703</v>
      </c>
      <c r="N157" s="1">
        <f t="shared" si="5"/>
        <v>439400000</v>
      </c>
      <c r="O157" s="1" t="s">
        <v>28</v>
      </c>
    </row>
    <row r="158">
      <c r="A158" s="1">
        <v>157.0</v>
      </c>
      <c r="B158" s="1" t="s">
        <v>704</v>
      </c>
      <c r="C158" s="1">
        <v>74.0</v>
      </c>
      <c r="D158" s="3" t="s">
        <v>705</v>
      </c>
      <c r="E158" s="2">
        <f t="shared" si="1"/>
        <v>730</v>
      </c>
      <c r="F158" s="1" t="s">
        <v>706</v>
      </c>
      <c r="G158" s="1">
        <f t="shared" si="2"/>
        <v>34600000</v>
      </c>
      <c r="H158" s="1" t="s">
        <v>707</v>
      </c>
      <c r="I158" s="1">
        <f t="shared" si="3"/>
        <v>2200000</v>
      </c>
      <c r="J158" s="4">
        <v>0.0856</v>
      </c>
      <c r="K158" s="1" t="s">
        <v>39</v>
      </c>
      <c r="L158" s="1">
        <f t="shared" si="4"/>
        <v>3300000</v>
      </c>
      <c r="M158" s="1" t="s">
        <v>124</v>
      </c>
      <c r="N158" s="1">
        <f t="shared" si="5"/>
        <v>1600000000</v>
      </c>
      <c r="O158" s="1" t="s">
        <v>28</v>
      </c>
    </row>
    <row r="159">
      <c r="A159" s="1">
        <v>158.0</v>
      </c>
      <c r="B159" s="1" t="s">
        <v>708</v>
      </c>
      <c r="C159" s="1">
        <v>80.0</v>
      </c>
      <c r="D159" s="3" t="s">
        <v>36</v>
      </c>
      <c r="E159" s="2">
        <f t="shared" si="1"/>
        <v>1800</v>
      </c>
      <c r="F159" s="1" t="s">
        <v>709</v>
      </c>
      <c r="G159" s="1">
        <f t="shared" si="2"/>
        <v>34200000</v>
      </c>
      <c r="H159" s="1" t="s">
        <v>710</v>
      </c>
      <c r="I159" s="1">
        <f t="shared" si="3"/>
        <v>815800</v>
      </c>
      <c r="J159" s="4">
        <v>0.0101</v>
      </c>
      <c r="K159" s="1" t="s">
        <v>711</v>
      </c>
      <c r="L159" s="1">
        <f t="shared" si="4"/>
        <v>383300</v>
      </c>
      <c r="M159" s="1" t="s">
        <v>712</v>
      </c>
      <c r="N159" s="1">
        <f t="shared" si="5"/>
        <v>1400000000</v>
      </c>
      <c r="O159" s="1" t="s">
        <v>28</v>
      </c>
    </row>
    <row r="160">
      <c r="A160" s="1">
        <v>159.0</v>
      </c>
      <c r="B160" s="1" t="s">
        <v>713</v>
      </c>
      <c r="C160" s="1">
        <v>79.0</v>
      </c>
      <c r="D160" s="3" t="s">
        <v>325</v>
      </c>
      <c r="E160" s="2">
        <f t="shared" si="1"/>
        <v>5100</v>
      </c>
      <c r="F160" s="1" t="s">
        <v>709</v>
      </c>
      <c r="G160" s="1">
        <f t="shared" si="2"/>
        <v>34200000</v>
      </c>
      <c r="H160" s="1" t="s">
        <v>714</v>
      </c>
      <c r="I160" s="1">
        <f t="shared" si="3"/>
        <v>623100</v>
      </c>
      <c r="J160" s="4">
        <v>0.0043</v>
      </c>
      <c r="K160" s="1" t="s">
        <v>715</v>
      </c>
      <c r="L160" s="1">
        <f t="shared" si="4"/>
        <v>162100</v>
      </c>
      <c r="M160" s="1" t="s">
        <v>570</v>
      </c>
      <c r="N160" s="1">
        <f t="shared" si="5"/>
        <v>3200000000</v>
      </c>
      <c r="O160" s="1" t="s">
        <v>28</v>
      </c>
    </row>
    <row r="161">
      <c r="A161" s="1">
        <v>160.0</v>
      </c>
      <c r="B161" s="1" t="s">
        <v>716</v>
      </c>
      <c r="C161" s="1">
        <v>75.0</v>
      </c>
      <c r="D161" s="3" t="s">
        <v>717</v>
      </c>
      <c r="E161" s="2">
        <f t="shared" si="1"/>
        <v>13400</v>
      </c>
      <c r="F161" s="1" t="s">
        <v>718</v>
      </c>
      <c r="G161" s="1">
        <f t="shared" si="2"/>
        <v>34100000</v>
      </c>
      <c r="H161" s="1" t="s">
        <v>611</v>
      </c>
      <c r="I161" s="1">
        <f t="shared" si="3"/>
        <v>139300</v>
      </c>
      <c r="J161" s="4">
        <v>0.0013</v>
      </c>
      <c r="K161" s="1" t="s">
        <v>719</v>
      </c>
      <c r="L161" s="1">
        <f t="shared" si="4"/>
        <v>49100</v>
      </c>
      <c r="M161" s="1" t="s">
        <v>227</v>
      </c>
      <c r="N161" s="1">
        <f t="shared" si="5"/>
        <v>1900000000</v>
      </c>
      <c r="O161" s="1" t="s">
        <v>323</v>
      </c>
    </row>
    <row r="162">
      <c r="A162" s="1">
        <v>161.0</v>
      </c>
      <c r="B162" s="1" t="s">
        <v>720</v>
      </c>
      <c r="C162" s="1">
        <v>80.0</v>
      </c>
      <c r="D162" s="3" t="s">
        <v>721</v>
      </c>
      <c r="E162" s="2">
        <f t="shared" si="1"/>
        <v>500</v>
      </c>
      <c r="F162" s="1" t="s">
        <v>722</v>
      </c>
      <c r="G162" s="1">
        <f t="shared" si="2"/>
        <v>334100000</v>
      </c>
      <c r="H162" s="1" t="s">
        <v>723</v>
      </c>
      <c r="I162" s="1">
        <f t="shared" si="3"/>
        <v>398700</v>
      </c>
      <c r="J162" s="4">
        <v>0.0031</v>
      </c>
      <c r="K162" s="1" t="s">
        <v>724</v>
      </c>
      <c r="L162" s="1">
        <f t="shared" si="4"/>
        <v>115700</v>
      </c>
      <c r="M162" s="1" t="s">
        <v>725</v>
      </c>
      <c r="N162" s="1">
        <f t="shared" si="5"/>
        <v>199800000</v>
      </c>
      <c r="O162" s="1" t="s">
        <v>28</v>
      </c>
    </row>
    <row r="163">
      <c r="A163" s="1">
        <v>162.0</v>
      </c>
      <c r="B163" s="1" t="s">
        <v>726</v>
      </c>
      <c r="C163" s="1">
        <v>83.0</v>
      </c>
      <c r="D163" s="3" t="s">
        <v>182</v>
      </c>
      <c r="E163" s="2">
        <f t="shared" si="1"/>
        <v>7300</v>
      </c>
      <c r="F163" s="1" t="s">
        <v>727</v>
      </c>
      <c r="G163" s="1">
        <f t="shared" si="2"/>
        <v>33700000</v>
      </c>
      <c r="H163" s="1" t="s">
        <v>728</v>
      </c>
      <c r="I163" s="1">
        <f t="shared" si="3"/>
        <v>88400</v>
      </c>
      <c r="J163" s="4">
        <v>6.0E-4</v>
      </c>
      <c r="K163" s="1" t="s">
        <v>729</v>
      </c>
      <c r="L163" s="1">
        <f t="shared" si="4"/>
        <v>22400</v>
      </c>
      <c r="M163" s="1" t="s">
        <v>730</v>
      </c>
      <c r="N163" s="1">
        <f t="shared" si="5"/>
        <v>644100000</v>
      </c>
      <c r="O163" s="1" t="s">
        <v>731</v>
      </c>
    </row>
    <row r="164">
      <c r="A164" s="1">
        <v>163.0</v>
      </c>
      <c r="B164" s="1" t="s">
        <v>732</v>
      </c>
      <c r="C164" s="1">
        <v>85.0</v>
      </c>
      <c r="D164" s="3" t="s">
        <v>126</v>
      </c>
      <c r="E164" s="2">
        <f t="shared" si="1"/>
        <v>5300</v>
      </c>
      <c r="F164" s="1" t="s">
        <v>733</v>
      </c>
      <c r="G164" s="1">
        <f t="shared" si="2"/>
        <v>33600000</v>
      </c>
      <c r="H164" s="1" t="s">
        <v>734</v>
      </c>
      <c r="I164" s="1">
        <f t="shared" si="3"/>
        <v>695400</v>
      </c>
      <c r="J164" s="4">
        <v>0.0175</v>
      </c>
      <c r="K164" s="1" t="s">
        <v>735</v>
      </c>
      <c r="L164" s="1">
        <f t="shared" si="4"/>
        <v>658300</v>
      </c>
      <c r="M164" s="1" t="s">
        <v>81</v>
      </c>
      <c r="N164" s="1">
        <f t="shared" si="5"/>
        <v>3700000000</v>
      </c>
      <c r="O164" s="1" t="s">
        <v>28</v>
      </c>
    </row>
    <row r="165">
      <c r="A165" s="1">
        <v>164.0</v>
      </c>
      <c r="B165" s="1" t="s">
        <v>736</v>
      </c>
      <c r="C165" s="1">
        <v>84.0</v>
      </c>
      <c r="D165" s="3" t="s">
        <v>705</v>
      </c>
      <c r="E165" s="2">
        <f t="shared" si="1"/>
        <v>730</v>
      </c>
      <c r="F165" s="1" t="s">
        <v>737</v>
      </c>
      <c r="G165" s="1">
        <f t="shared" si="2"/>
        <v>33500000</v>
      </c>
      <c r="H165" s="1" t="s">
        <v>738</v>
      </c>
      <c r="I165" s="1">
        <f t="shared" si="3"/>
        <v>813500</v>
      </c>
      <c r="J165" s="4">
        <v>0.01</v>
      </c>
      <c r="K165" s="1" t="s">
        <v>739</v>
      </c>
      <c r="L165" s="1">
        <f t="shared" si="4"/>
        <v>363800</v>
      </c>
      <c r="M165" s="1" t="s">
        <v>740</v>
      </c>
      <c r="N165" s="1">
        <f t="shared" si="5"/>
        <v>594700000</v>
      </c>
      <c r="O165" s="1" t="s">
        <v>28</v>
      </c>
    </row>
    <row r="166">
      <c r="A166" s="1">
        <v>165.0</v>
      </c>
      <c r="B166" s="1" t="s">
        <v>741</v>
      </c>
      <c r="C166" s="1">
        <v>83.0</v>
      </c>
      <c r="D166" s="3" t="s">
        <v>364</v>
      </c>
      <c r="E166" s="2">
        <f t="shared" si="1"/>
        <v>2700</v>
      </c>
      <c r="F166" s="1" t="s">
        <v>737</v>
      </c>
      <c r="G166" s="1">
        <f t="shared" si="2"/>
        <v>33500000</v>
      </c>
      <c r="H166" s="1" t="s">
        <v>742</v>
      </c>
      <c r="I166" s="1">
        <f t="shared" si="3"/>
        <v>594200</v>
      </c>
      <c r="J166" s="4">
        <v>0.0158</v>
      </c>
      <c r="K166" s="1" t="s">
        <v>743</v>
      </c>
      <c r="L166" s="1">
        <f t="shared" si="4"/>
        <v>555900</v>
      </c>
      <c r="M166" s="1" t="s">
        <v>124</v>
      </c>
      <c r="N166" s="1">
        <f t="shared" si="5"/>
        <v>1600000000</v>
      </c>
      <c r="O166" s="1" t="s">
        <v>28</v>
      </c>
    </row>
    <row r="167">
      <c r="A167" s="1">
        <v>166.0</v>
      </c>
      <c r="B167" s="1" t="s">
        <v>744</v>
      </c>
      <c r="C167" s="1">
        <v>80.0</v>
      </c>
      <c r="D167" s="3" t="s">
        <v>494</v>
      </c>
      <c r="E167" s="2">
        <f t="shared" si="1"/>
        <v>8900</v>
      </c>
      <c r="F167" s="1" t="s">
        <v>745</v>
      </c>
      <c r="G167" s="1">
        <f t="shared" si="2"/>
        <v>33300000</v>
      </c>
      <c r="H167" s="1" t="s">
        <v>746</v>
      </c>
      <c r="I167" s="1">
        <f t="shared" si="3"/>
        <v>256100</v>
      </c>
      <c r="J167" s="4">
        <v>2.0E-4</v>
      </c>
      <c r="K167" s="1">
        <v>0.0</v>
      </c>
      <c r="L167" s="1">
        <f t="shared" si="4"/>
        <v>0</v>
      </c>
      <c r="M167" s="1" t="s">
        <v>205</v>
      </c>
      <c r="N167" s="1">
        <f t="shared" si="5"/>
        <v>2300000000</v>
      </c>
      <c r="O167" s="1" t="s">
        <v>28</v>
      </c>
    </row>
    <row r="168">
      <c r="A168" s="1">
        <v>167.0</v>
      </c>
      <c r="B168" s="1" t="s">
        <v>747</v>
      </c>
      <c r="C168" s="1">
        <v>84.0</v>
      </c>
      <c r="D168" s="3" t="s">
        <v>198</v>
      </c>
      <c r="E168" s="2">
        <f t="shared" si="1"/>
        <v>1300</v>
      </c>
      <c r="F168" s="1" t="s">
        <v>748</v>
      </c>
      <c r="G168" s="1">
        <f t="shared" si="2"/>
        <v>33200000</v>
      </c>
      <c r="H168" s="1" t="s">
        <v>749</v>
      </c>
      <c r="I168" s="1">
        <f t="shared" si="3"/>
        <v>505700</v>
      </c>
      <c r="J168" s="4">
        <v>0.0068</v>
      </c>
      <c r="K168" s="1" t="s">
        <v>750</v>
      </c>
      <c r="L168" s="1">
        <f t="shared" si="4"/>
        <v>246900</v>
      </c>
      <c r="M168" s="1" t="s">
        <v>751</v>
      </c>
      <c r="N168" s="1">
        <f t="shared" si="5"/>
        <v>672100000</v>
      </c>
      <c r="O168" s="1" t="s">
        <v>28</v>
      </c>
    </row>
    <row r="169">
      <c r="A169" s="1">
        <v>169.0</v>
      </c>
      <c r="B169" s="1" t="s">
        <v>752</v>
      </c>
      <c r="C169" s="1">
        <v>76.0</v>
      </c>
      <c r="D169" s="3" t="s">
        <v>753</v>
      </c>
      <c r="E169" s="2">
        <f t="shared" si="1"/>
        <v>380</v>
      </c>
      <c r="F169" s="1" t="s">
        <v>748</v>
      </c>
      <c r="G169" s="1">
        <f t="shared" si="2"/>
        <v>33200000</v>
      </c>
      <c r="H169" s="1" t="s">
        <v>754</v>
      </c>
      <c r="I169" s="1">
        <f t="shared" si="3"/>
        <v>172800</v>
      </c>
      <c r="J169" s="4">
        <v>0.0012</v>
      </c>
      <c r="K169" s="1" t="s">
        <v>755</v>
      </c>
      <c r="L169" s="1">
        <f t="shared" si="4"/>
        <v>43400</v>
      </c>
      <c r="M169" s="1" t="s">
        <v>756</v>
      </c>
      <c r="N169" s="1">
        <f t="shared" si="5"/>
        <v>66700000</v>
      </c>
      <c r="O169" s="1" t="s">
        <v>323</v>
      </c>
    </row>
    <row r="170">
      <c r="A170" s="1">
        <v>170.0</v>
      </c>
      <c r="B170" s="1" t="s">
        <v>757</v>
      </c>
      <c r="C170" s="1">
        <v>83.0</v>
      </c>
      <c r="D170" s="3" t="s">
        <v>219</v>
      </c>
      <c r="E170" s="2">
        <f t="shared" si="1"/>
        <v>870</v>
      </c>
      <c r="F170" s="1" t="s">
        <v>748</v>
      </c>
      <c r="G170" s="1">
        <f t="shared" si="2"/>
        <v>33200000</v>
      </c>
      <c r="H170" s="1" t="s">
        <v>155</v>
      </c>
      <c r="I170" s="1">
        <f t="shared" si="3"/>
        <v>1100000</v>
      </c>
      <c r="J170" s="4">
        <v>0.0057</v>
      </c>
      <c r="K170" s="1" t="s">
        <v>758</v>
      </c>
      <c r="L170" s="1">
        <f t="shared" si="4"/>
        <v>203600</v>
      </c>
      <c r="M170" s="1" t="s">
        <v>759</v>
      </c>
      <c r="N170" s="1">
        <f t="shared" si="5"/>
        <v>955400000</v>
      </c>
      <c r="O170" s="1" t="s">
        <v>349</v>
      </c>
    </row>
    <row r="171">
      <c r="A171" s="1">
        <v>171.0</v>
      </c>
      <c r="B171" s="1" t="s">
        <v>760</v>
      </c>
      <c r="C171" s="1">
        <v>85.0</v>
      </c>
      <c r="D171" s="3" t="s">
        <v>356</v>
      </c>
      <c r="E171" s="2">
        <f t="shared" si="1"/>
        <v>9900</v>
      </c>
      <c r="F171" s="1" t="s">
        <v>761</v>
      </c>
      <c r="G171" s="1">
        <f t="shared" si="2"/>
        <v>33000000</v>
      </c>
      <c r="H171" s="1" t="s">
        <v>762</v>
      </c>
      <c r="I171" s="1">
        <f t="shared" si="3"/>
        <v>150500</v>
      </c>
      <c r="J171" s="4">
        <v>0.001</v>
      </c>
      <c r="K171" s="1" t="s">
        <v>763</v>
      </c>
      <c r="L171" s="1">
        <f t="shared" si="4"/>
        <v>33400</v>
      </c>
      <c r="M171" s="1" t="s">
        <v>135</v>
      </c>
      <c r="N171" s="1">
        <f t="shared" si="5"/>
        <v>1500000000</v>
      </c>
      <c r="O171" s="1" t="s">
        <v>28</v>
      </c>
    </row>
    <row r="172">
      <c r="A172" s="1">
        <v>172.0</v>
      </c>
      <c r="B172" s="1" t="s">
        <v>764</v>
      </c>
      <c r="C172" s="1">
        <v>84.0</v>
      </c>
      <c r="D172" s="3" t="s">
        <v>77</v>
      </c>
      <c r="E172" s="2">
        <f t="shared" si="1"/>
        <v>660</v>
      </c>
      <c r="F172" s="1" t="s">
        <v>765</v>
      </c>
      <c r="G172" s="1">
        <f t="shared" si="2"/>
        <v>329200000</v>
      </c>
      <c r="H172" s="1" t="s">
        <v>155</v>
      </c>
      <c r="I172" s="1">
        <f t="shared" si="3"/>
        <v>1100000</v>
      </c>
      <c r="J172" s="4">
        <v>0.0269</v>
      </c>
      <c r="K172" s="1" t="s">
        <v>766</v>
      </c>
      <c r="L172" s="1">
        <f t="shared" si="4"/>
        <v>962700</v>
      </c>
      <c r="M172" s="1" t="s">
        <v>767</v>
      </c>
      <c r="N172" s="1">
        <f t="shared" si="5"/>
        <v>730100000</v>
      </c>
      <c r="O172" s="1" t="s">
        <v>28</v>
      </c>
    </row>
    <row r="173">
      <c r="A173" s="1">
        <v>173.0</v>
      </c>
      <c r="B173" s="1" t="s">
        <v>768</v>
      </c>
      <c r="C173" s="1">
        <v>77.0</v>
      </c>
      <c r="D173" s="3" t="s">
        <v>83</v>
      </c>
      <c r="E173" s="2">
        <f t="shared" si="1"/>
        <v>10000</v>
      </c>
      <c r="F173" s="1" t="s">
        <v>769</v>
      </c>
      <c r="G173" s="1">
        <f t="shared" si="2"/>
        <v>327700000</v>
      </c>
      <c r="H173" s="1" t="s">
        <v>770</v>
      </c>
      <c r="I173" s="1">
        <f t="shared" si="3"/>
        <v>197900</v>
      </c>
      <c r="J173" s="4">
        <v>0.0018</v>
      </c>
      <c r="K173" s="1" t="s">
        <v>771</v>
      </c>
      <c r="L173" s="1">
        <f t="shared" si="4"/>
        <v>64600</v>
      </c>
      <c r="M173" s="1" t="s">
        <v>232</v>
      </c>
      <c r="N173" s="1">
        <f t="shared" si="5"/>
        <v>2000000000</v>
      </c>
      <c r="O173" s="1" t="s">
        <v>772</v>
      </c>
    </row>
    <row r="174">
      <c r="A174" s="1">
        <v>174.0</v>
      </c>
      <c r="B174" s="1" t="s">
        <v>773</v>
      </c>
      <c r="C174" s="1">
        <v>81.0</v>
      </c>
      <c r="D174" s="3" t="s">
        <v>121</v>
      </c>
      <c r="E174" s="2">
        <f t="shared" si="1"/>
        <v>1200</v>
      </c>
      <c r="F174" s="1" t="s">
        <v>774</v>
      </c>
      <c r="G174" s="1">
        <f t="shared" si="2"/>
        <v>32800000</v>
      </c>
      <c r="H174" s="1" t="s">
        <v>707</v>
      </c>
      <c r="I174" s="1">
        <f t="shared" si="3"/>
        <v>2200000</v>
      </c>
      <c r="J174" s="4">
        <v>0.0234</v>
      </c>
      <c r="K174" s="1" t="s">
        <v>775</v>
      </c>
      <c r="L174" s="1">
        <f t="shared" si="4"/>
        <v>834500</v>
      </c>
      <c r="M174" s="1" t="s">
        <v>199</v>
      </c>
      <c r="N174" s="1">
        <f t="shared" si="5"/>
        <v>2600000000</v>
      </c>
      <c r="O174" s="1" t="s">
        <v>28</v>
      </c>
    </row>
    <row r="175">
      <c r="A175" s="1">
        <v>175.0</v>
      </c>
      <c r="B175" s="1" t="s">
        <v>776</v>
      </c>
      <c r="C175" s="1">
        <v>47.0</v>
      </c>
      <c r="D175" s="3" t="s">
        <v>777</v>
      </c>
      <c r="E175" s="2">
        <f t="shared" si="1"/>
        <v>30</v>
      </c>
      <c r="F175" s="1" t="s">
        <v>778</v>
      </c>
      <c r="G175" s="1">
        <f t="shared" si="2"/>
        <v>272800000</v>
      </c>
      <c r="H175" s="1" t="s">
        <v>779</v>
      </c>
      <c r="I175" s="1">
        <f t="shared" si="3"/>
        <v>518100</v>
      </c>
      <c r="J175" s="4">
        <v>0.008</v>
      </c>
      <c r="K175" s="1" t="s">
        <v>780</v>
      </c>
      <c r="L175" s="1">
        <f t="shared" si="4"/>
        <v>285900</v>
      </c>
      <c r="M175" s="1" t="s">
        <v>781</v>
      </c>
      <c r="N175" s="1">
        <f t="shared" si="5"/>
        <v>18700000</v>
      </c>
      <c r="O175" s="1" t="s">
        <v>782</v>
      </c>
    </row>
    <row r="176">
      <c r="A176" s="1">
        <v>176.0</v>
      </c>
      <c r="B176" s="1" t="s">
        <v>783</v>
      </c>
      <c r="C176" s="1">
        <v>82.0</v>
      </c>
      <c r="D176" s="3" t="s">
        <v>472</v>
      </c>
      <c r="E176" s="2">
        <f t="shared" si="1"/>
        <v>1100</v>
      </c>
      <c r="F176" s="1" t="s">
        <v>784</v>
      </c>
      <c r="G176" s="1">
        <f t="shared" si="2"/>
        <v>268300000</v>
      </c>
      <c r="H176" s="1" t="s">
        <v>118</v>
      </c>
      <c r="I176" s="1">
        <f t="shared" si="3"/>
        <v>1300000</v>
      </c>
      <c r="J176" s="4">
        <v>0.0254</v>
      </c>
      <c r="K176" s="1" t="s">
        <v>785</v>
      </c>
      <c r="L176" s="1">
        <f t="shared" si="4"/>
        <v>780000</v>
      </c>
      <c r="M176" s="1" t="s">
        <v>135</v>
      </c>
      <c r="N176" s="1">
        <f t="shared" si="5"/>
        <v>1500000000</v>
      </c>
      <c r="O176" s="1" t="s">
        <v>28</v>
      </c>
    </row>
    <row r="177">
      <c r="A177" s="1">
        <v>177.0</v>
      </c>
      <c r="B177" s="1" t="s">
        <v>786</v>
      </c>
      <c r="C177" s="1">
        <v>83.0</v>
      </c>
      <c r="D177" s="3" t="s">
        <v>431</v>
      </c>
      <c r="E177" s="2">
        <f t="shared" si="1"/>
        <v>2100</v>
      </c>
      <c r="F177" s="1" t="s">
        <v>787</v>
      </c>
      <c r="G177" s="1">
        <f t="shared" si="2"/>
        <v>254500000</v>
      </c>
      <c r="H177" s="1" t="s">
        <v>155</v>
      </c>
      <c r="I177" s="1">
        <f t="shared" si="3"/>
        <v>1100000</v>
      </c>
      <c r="J177" s="4">
        <v>0.012</v>
      </c>
      <c r="K177" s="1" t="s">
        <v>788</v>
      </c>
      <c r="L177" s="1">
        <f t="shared" si="4"/>
        <v>422900</v>
      </c>
      <c r="M177" s="1" t="s">
        <v>362</v>
      </c>
      <c r="N177" s="1">
        <f t="shared" si="5"/>
        <v>2200000000</v>
      </c>
      <c r="O177" s="1" t="s">
        <v>257</v>
      </c>
    </row>
    <row r="178">
      <c r="A178" s="1">
        <v>178.0</v>
      </c>
      <c r="B178" s="1" t="s">
        <v>789</v>
      </c>
      <c r="C178" s="1">
        <v>78.0</v>
      </c>
      <c r="D178" s="3" t="s">
        <v>533</v>
      </c>
      <c r="E178" s="2">
        <f t="shared" si="1"/>
        <v>590</v>
      </c>
      <c r="F178" s="1" t="s">
        <v>790</v>
      </c>
      <c r="G178" s="1">
        <f t="shared" si="2"/>
        <v>254000000</v>
      </c>
      <c r="H178" s="1" t="s">
        <v>554</v>
      </c>
      <c r="I178" s="1">
        <f t="shared" si="3"/>
        <v>2600000</v>
      </c>
      <c r="J178" s="4">
        <v>0.0523</v>
      </c>
      <c r="K178" s="1" t="s">
        <v>117</v>
      </c>
      <c r="L178" s="1">
        <f t="shared" si="4"/>
        <v>1800000</v>
      </c>
      <c r="M178" s="1" t="s">
        <v>124</v>
      </c>
      <c r="N178" s="1">
        <f t="shared" si="5"/>
        <v>1600000000</v>
      </c>
      <c r="O178" s="1" t="s">
        <v>791</v>
      </c>
    </row>
    <row r="179">
      <c r="A179" s="1">
        <v>179.0</v>
      </c>
      <c r="B179" s="1" t="s">
        <v>792</v>
      </c>
      <c r="C179" s="1">
        <v>81.0</v>
      </c>
      <c r="D179" s="3" t="s">
        <v>77</v>
      </c>
      <c r="E179" s="2">
        <f t="shared" si="1"/>
        <v>660</v>
      </c>
      <c r="F179" s="1" t="s">
        <v>793</v>
      </c>
      <c r="G179" s="1">
        <f t="shared" si="2"/>
        <v>237000000</v>
      </c>
      <c r="H179" s="1" t="s">
        <v>155</v>
      </c>
      <c r="I179" s="1">
        <f t="shared" si="3"/>
        <v>1100000</v>
      </c>
      <c r="J179" s="4">
        <v>0.0119</v>
      </c>
      <c r="K179" s="1" t="s">
        <v>794</v>
      </c>
      <c r="L179" s="1">
        <f t="shared" si="4"/>
        <v>411500</v>
      </c>
      <c r="M179" s="1" t="s">
        <v>795</v>
      </c>
      <c r="N179" s="1">
        <f t="shared" si="5"/>
        <v>739500000</v>
      </c>
      <c r="O179" s="1" t="s">
        <v>28</v>
      </c>
    </row>
    <row r="180">
      <c r="A180" s="1">
        <v>180.0</v>
      </c>
      <c r="B180" s="1" t="s">
        <v>796</v>
      </c>
      <c r="C180" s="1">
        <v>76.0</v>
      </c>
      <c r="D180" s="3" t="s">
        <v>299</v>
      </c>
      <c r="E180" s="2">
        <f t="shared" si="1"/>
        <v>1000</v>
      </c>
      <c r="F180" s="1" t="s">
        <v>797</v>
      </c>
      <c r="G180" s="1">
        <f t="shared" si="2"/>
        <v>234100000</v>
      </c>
      <c r="H180" s="1" t="s">
        <v>798</v>
      </c>
      <c r="I180" s="1">
        <f t="shared" si="3"/>
        <v>800400</v>
      </c>
      <c r="J180" s="4">
        <v>0.0203</v>
      </c>
      <c r="K180" s="1" t="s">
        <v>799</v>
      </c>
      <c r="L180" s="1">
        <f t="shared" si="4"/>
        <v>664500</v>
      </c>
      <c r="M180" s="1" t="s">
        <v>800</v>
      </c>
      <c r="N180" s="1">
        <f t="shared" si="5"/>
        <v>810000000</v>
      </c>
      <c r="O180" s="1" t="s">
        <v>28</v>
      </c>
    </row>
    <row r="181">
      <c r="A181" s="1">
        <v>181.0</v>
      </c>
      <c r="B181" s="1" t="s">
        <v>801</v>
      </c>
      <c r="C181" s="1">
        <v>72.0</v>
      </c>
      <c r="D181" s="3" t="s">
        <v>116</v>
      </c>
      <c r="E181" s="2">
        <f t="shared" si="1"/>
        <v>4400</v>
      </c>
      <c r="F181" s="1" t="s">
        <v>802</v>
      </c>
      <c r="G181" s="1">
        <f t="shared" si="2"/>
        <v>222200000</v>
      </c>
      <c r="H181" s="1" t="s">
        <v>803</v>
      </c>
      <c r="I181" s="1">
        <f t="shared" si="3"/>
        <v>420000</v>
      </c>
      <c r="J181" s="4">
        <v>0.0065</v>
      </c>
      <c r="K181" s="1" t="s">
        <v>804</v>
      </c>
      <c r="L181" s="1">
        <f t="shared" si="4"/>
        <v>222900</v>
      </c>
      <c r="M181" s="1" t="s">
        <v>227</v>
      </c>
      <c r="N181" s="1">
        <f t="shared" si="5"/>
        <v>1900000000</v>
      </c>
      <c r="O181" s="1" t="s">
        <v>130</v>
      </c>
    </row>
    <row r="182">
      <c r="A182" s="1">
        <v>182.0</v>
      </c>
      <c r="B182" s="1" t="s">
        <v>805</v>
      </c>
      <c r="C182" s="1">
        <v>84.0</v>
      </c>
      <c r="D182" s="3" t="s">
        <v>806</v>
      </c>
      <c r="E182" s="2">
        <f t="shared" si="1"/>
        <v>7600</v>
      </c>
      <c r="F182" s="1" t="s">
        <v>807</v>
      </c>
      <c r="G182" s="1">
        <f t="shared" si="2"/>
        <v>220400000</v>
      </c>
      <c r="H182" s="1" t="s">
        <v>808</v>
      </c>
      <c r="I182" s="1">
        <f t="shared" si="3"/>
        <v>226400</v>
      </c>
      <c r="J182" s="4">
        <v>0.0036</v>
      </c>
      <c r="K182" s="1" t="s">
        <v>809</v>
      </c>
      <c r="L182" s="1">
        <f t="shared" si="4"/>
        <v>121100</v>
      </c>
      <c r="M182" s="1" t="s">
        <v>301</v>
      </c>
      <c r="N182" s="1">
        <f t="shared" si="5"/>
        <v>1700000000</v>
      </c>
      <c r="O182" s="1" t="s">
        <v>130</v>
      </c>
    </row>
    <row r="183">
      <c r="A183" s="1">
        <v>183.0</v>
      </c>
      <c r="B183" s="1" t="s">
        <v>810</v>
      </c>
      <c r="C183" s="1">
        <v>83.0</v>
      </c>
      <c r="D183" s="3" t="s">
        <v>66</v>
      </c>
      <c r="E183" s="2">
        <f t="shared" si="1"/>
        <v>4100</v>
      </c>
      <c r="F183" s="1" t="s">
        <v>811</v>
      </c>
      <c r="G183" s="1">
        <f t="shared" si="2"/>
        <v>211800000</v>
      </c>
      <c r="H183" s="1" t="s">
        <v>812</v>
      </c>
      <c r="I183" s="1">
        <f t="shared" si="3"/>
        <v>145400</v>
      </c>
      <c r="J183" s="4">
        <v>0.0017</v>
      </c>
      <c r="K183" s="1" t="s">
        <v>813</v>
      </c>
      <c r="L183" s="1">
        <f t="shared" si="4"/>
        <v>58600</v>
      </c>
      <c r="M183" s="1" t="s">
        <v>814</v>
      </c>
      <c r="N183" s="1">
        <f t="shared" si="5"/>
        <v>589600000</v>
      </c>
      <c r="O183" s="1" t="s">
        <v>28</v>
      </c>
    </row>
    <row r="184">
      <c r="A184" s="1">
        <v>184.0</v>
      </c>
      <c r="B184" s="1" t="s">
        <v>815</v>
      </c>
      <c r="C184" s="1">
        <v>83.0</v>
      </c>
      <c r="D184" s="3" t="s">
        <v>816</v>
      </c>
      <c r="E184" s="2">
        <f t="shared" si="1"/>
        <v>940</v>
      </c>
      <c r="F184" s="1" t="s">
        <v>817</v>
      </c>
      <c r="G184" s="1">
        <f t="shared" si="2"/>
        <v>201600000</v>
      </c>
      <c r="H184" s="1" t="s">
        <v>818</v>
      </c>
      <c r="I184" s="1">
        <f t="shared" si="3"/>
        <v>597200</v>
      </c>
      <c r="J184" s="4">
        <v>0.0168</v>
      </c>
      <c r="K184" s="1" t="s">
        <v>819</v>
      </c>
      <c r="L184" s="1">
        <f t="shared" si="4"/>
        <v>533500</v>
      </c>
      <c r="M184" s="1" t="s">
        <v>820</v>
      </c>
      <c r="N184" s="1">
        <f t="shared" si="5"/>
        <v>561300000</v>
      </c>
      <c r="O184" s="1" t="s">
        <v>28</v>
      </c>
    </row>
    <row r="185">
      <c r="A185" s="1">
        <v>185.0</v>
      </c>
      <c r="B185" s="1" t="s">
        <v>821</v>
      </c>
      <c r="C185" s="1">
        <v>68.0</v>
      </c>
      <c r="D185" s="3" t="s">
        <v>241</v>
      </c>
      <c r="E185" s="2">
        <f t="shared" si="1"/>
        <v>1900</v>
      </c>
      <c r="F185" s="1" t="s">
        <v>822</v>
      </c>
      <c r="G185" s="1">
        <f t="shared" si="2"/>
        <v>195200000</v>
      </c>
      <c r="H185" s="1" t="s">
        <v>73</v>
      </c>
      <c r="I185" s="1">
        <f t="shared" si="3"/>
        <v>1500000</v>
      </c>
      <c r="J185" s="4">
        <v>0.0349</v>
      </c>
      <c r="K185" s="1" t="s">
        <v>165</v>
      </c>
      <c r="L185" s="1">
        <f t="shared" si="4"/>
        <v>1200000</v>
      </c>
      <c r="M185" s="1" t="s">
        <v>252</v>
      </c>
      <c r="N185" s="1">
        <f t="shared" si="5"/>
        <v>2800000000</v>
      </c>
      <c r="O185" s="1" t="s">
        <v>791</v>
      </c>
    </row>
    <row r="186">
      <c r="A186" s="1">
        <v>186.0</v>
      </c>
      <c r="B186" s="1" t="s">
        <v>823</v>
      </c>
      <c r="C186" s="1">
        <v>84.0</v>
      </c>
      <c r="D186" s="3" t="s">
        <v>423</v>
      </c>
      <c r="E186" s="2">
        <f t="shared" si="1"/>
        <v>4600</v>
      </c>
      <c r="F186" s="1" t="s">
        <v>824</v>
      </c>
      <c r="G186" s="1">
        <f t="shared" si="2"/>
        <v>181500000</v>
      </c>
      <c r="H186" s="1" t="s">
        <v>825</v>
      </c>
      <c r="I186" s="1">
        <f t="shared" si="3"/>
        <v>367800</v>
      </c>
      <c r="J186" s="4">
        <v>0.0057</v>
      </c>
      <c r="K186" s="1" t="s">
        <v>826</v>
      </c>
      <c r="L186" s="1">
        <f t="shared" si="4"/>
        <v>192300</v>
      </c>
      <c r="M186" s="1" t="s">
        <v>301</v>
      </c>
      <c r="N186" s="1">
        <f t="shared" si="5"/>
        <v>1700000000</v>
      </c>
      <c r="O186" s="1" t="s">
        <v>28</v>
      </c>
    </row>
    <row r="187">
      <c r="A187" s="1">
        <v>187.0</v>
      </c>
      <c r="B187" s="1" t="s">
        <v>827</v>
      </c>
      <c r="C187" s="1">
        <v>80.0</v>
      </c>
      <c r="D187" s="3" t="s">
        <v>828</v>
      </c>
      <c r="E187" s="2">
        <f t="shared" si="1"/>
        <v>110</v>
      </c>
      <c r="F187" s="1" t="s">
        <v>829</v>
      </c>
      <c r="G187" s="1">
        <f t="shared" si="2"/>
        <v>177100000</v>
      </c>
      <c r="H187" s="1" t="s">
        <v>150</v>
      </c>
      <c r="I187" s="1">
        <f t="shared" si="3"/>
        <v>3100000</v>
      </c>
      <c r="J187" s="4">
        <v>2.0E-4</v>
      </c>
      <c r="K187" s="1">
        <v>0.0</v>
      </c>
      <c r="L187" s="1">
        <f t="shared" si="4"/>
        <v>0</v>
      </c>
      <c r="M187" s="1" t="s">
        <v>830</v>
      </c>
      <c r="N187" s="1">
        <f t="shared" si="5"/>
        <v>350900000</v>
      </c>
      <c r="O187" s="1" t="s">
        <v>28</v>
      </c>
    </row>
    <row r="188">
      <c r="A188" s="1">
        <v>188.0</v>
      </c>
      <c r="B188" s="1" t="s">
        <v>831</v>
      </c>
      <c r="C188" s="1">
        <v>83.0</v>
      </c>
      <c r="D188" s="3" t="s">
        <v>489</v>
      </c>
      <c r="E188" s="2">
        <f t="shared" si="1"/>
        <v>150</v>
      </c>
      <c r="F188" s="1" t="s">
        <v>832</v>
      </c>
      <c r="G188" s="1">
        <f t="shared" si="2"/>
        <v>170300000</v>
      </c>
      <c r="H188" s="1" t="s">
        <v>833</v>
      </c>
      <c r="I188" s="1">
        <f t="shared" si="3"/>
        <v>136200</v>
      </c>
      <c r="J188" s="4">
        <v>0.002</v>
      </c>
      <c r="K188" s="1" t="s">
        <v>834</v>
      </c>
      <c r="L188" s="1">
        <f t="shared" si="4"/>
        <v>66800</v>
      </c>
      <c r="M188" s="1" t="s">
        <v>835</v>
      </c>
      <c r="N188" s="1">
        <f t="shared" si="5"/>
        <v>21200000</v>
      </c>
      <c r="O188" s="1" t="s">
        <v>28</v>
      </c>
    </row>
    <row r="189">
      <c r="A189" s="1">
        <v>189.0</v>
      </c>
      <c r="B189" s="1" t="s">
        <v>836</v>
      </c>
      <c r="C189" s="1">
        <v>77.0</v>
      </c>
      <c r="D189" s="3" t="s">
        <v>182</v>
      </c>
      <c r="E189" s="2">
        <f t="shared" si="1"/>
        <v>7300</v>
      </c>
      <c r="F189" s="1" t="s">
        <v>837</v>
      </c>
      <c r="G189" s="1">
        <f t="shared" si="2"/>
        <v>152000000</v>
      </c>
      <c r="H189" s="1" t="s">
        <v>838</v>
      </c>
      <c r="I189" s="1">
        <f t="shared" si="3"/>
        <v>185200</v>
      </c>
      <c r="J189" s="4">
        <v>0.0044</v>
      </c>
      <c r="K189" s="1" t="s">
        <v>839</v>
      </c>
      <c r="L189" s="1">
        <f t="shared" si="4"/>
        <v>132000</v>
      </c>
      <c r="M189" s="1" t="s">
        <v>712</v>
      </c>
      <c r="N189" s="1">
        <f t="shared" si="5"/>
        <v>1400000000</v>
      </c>
      <c r="O189" s="1" t="s">
        <v>28</v>
      </c>
    </row>
    <row r="190">
      <c r="A190" s="1">
        <v>190.0</v>
      </c>
      <c r="B190" s="1" t="s">
        <v>840</v>
      </c>
      <c r="C190" s="1">
        <v>83.0</v>
      </c>
      <c r="D190" s="3" t="s">
        <v>841</v>
      </c>
      <c r="E190" s="2">
        <f t="shared" si="1"/>
        <v>6300</v>
      </c>
      <c r="F190" s="1" t="s">
        <v>842</v>
      </c>
      <c r="G190" s="1">
        <f t="shared" si="2"/>
        <v>150700000</v>
      </c>
      <c r="H190" s="1" t="s">
        <v>843</v>
      </c>
      <c r="I190" s="1">
        <f t="shared" si="3"/>
        <v>732400</v>
      </c>
      <c r="J190" s="4">
        <v>0.0073</v>
      </c>
      <c r="K190" s="1" t="s">
        <v>844</v>
      </c>
      <c r="L190" s="1">
        <f t="shared" si="4"/>
        <v>247500</v>
      </c>
      <c r="M190" s="1" t="s">
        <v>845</v>
      </c>
      <c r="N190" s="1">
        <f t="shared" si="5"/>
        <v>4600000000</v>
      </c>
      <c r="O190" s="1" t="s">
        <v>28</v>
      </c>
    </row>
    <row r="191">
      <c r="A191" s="1">
        <v>191.0</v>
      </c>
      <c r="B191" s="1" t="s">
        <v>846</v>
      </c>
      <c r="C191" s="1">
        <v>79.0</v>
      </c>
      <c r="D191" s="3" t="s">
        <v>847</v>
      </c>
      <c r="E191" s="2">
        <f t="shared" si="1"/>
        <v>9300</v>
      </c>
      <c r="F191" s="1" t="s">
        <v>848</v>
      </c>
      <c r="G191" s="1">
        <f t="shared" si="2"/>
        <v>140500000</v>
      </c>
      <c r="H191" s="1" t="s">
        <v>849</v>
      </c>
      <c r="I191" s="1">
        <f t="shared" si="3"/>
        <v>231300</v>
      </c>
      <c r="J191" s="4">
        <v>0.0023</v>
      </c>
      <c r="K191" s="1" t="s">
        <v>850</v>
      </c>
      <c r="L191" s="1">
        <f t="shared" si="4"/>
        <v>76500</v>
      </c>
      <c r="M191" s="1" t="s">
        <v>362</v>
      </c>
      <c r="N191" s="1">
        <f t="shared" si="5"/>
        <v>2200000000</v>
      </c>
      <c r="O191" s="1" t="s">
        <v>851</v>
      </c>
    </row>
    <row r="192">
      <c r="A192" s="1">
        <v>192.0</v>
      </c>
      <c r="B192" s="1" t="s">
        <v>852</v>
      </c>
      <c r="C192" s="1">
        <v>84.0</v>
      </c>
      <c r="D192" s="3" t="s">
        <v>106</v>
      </c>
      <c r="E192" s="2">
        <f t="shared" si="1"/>
        <v>1400</v>
      </c>
      <c r="F192" s="1" t="s">
        <v>853</v>
      </c>
      <c r="G192" s="1">
        <f t="shared" si="2"/>
        <v>139100000</v>
      </c>
      <c r="H192" s="1" t="s">
        <v>63</v>
      </c>
      <c r="I192" s="1">
        <f t="shared" si="3"/>
        <v>2000000</v>
      </c>
      <c r="J192" s="4">
        <v>0.0358</v>
      </c>
      <c r="K192" s="1" t="s">
        <v>165</v>
      </c>
      <c r="L192" s="1">
        <f t="shared" si="4"/>
        <v>1200000</v>
      </c>
      <c r="M192" s="1" t="s">
        <v>252</v>
      </c>
      <c r="N192" s="1">
        <f t="shared" si="5"/>
        <v>2800000000</v>
      </c>
      <c r="O192" s="1" t="s">
        <v>75</v>
      </c>
    </row>
    <row r="193">
      <c r="A193" s="1">
        <v>193.0</v>
      </c>
      <c r="B193" s="1" t="s">
        <v>854</v>
      </c>
      <c r="C193" s="1">
        <v>63.0</v>
      </c>
      <c r="D193" s="3" t="s">
        <v>680</v>
      </c>
      <c r="E193" s="2">
        <f t="shared" si="1"/>
        <v>4500</v>
      </c>
      <c r="F193" s="1" t="s">
        <v>855</v>
      </c>
      <c r="G193" s="1">
        <f t="shared" si="2"/>
        <v>135300000</v>
      </c>
      <c r="H193" s="1" t="s">
        <v>856</v>
      </c>
      <c r="I193" s="1">
        <f t="shared" si="3"/>
        <v>685100</v>
      </c>
      <c r="J193" s="4">
        <v>0.0067</v>
      </c>
      <c r="K193" s="1" t="s">
        <v>857</v>
      </c>
      <c r="L193" s="1">
        <f t="shared" si="4"/>
        <v>220700</v>
      </c>
      <c r="M193" s="1" t="s">
        <v>858</v>
      </c>
      <c r="N193" s="1">
        <f t="shared" si="5"/>
        <v>3100000000</v>
      </c>
      <c r="O193" s="1" t="s">
        <v>859</v>
      </c>
    </row>
    <row r="194">
      <c r="A194" s="1">
        <v>194.0</v>
      </c>
      <c r="B194" s="1" t="s">
        <v>860</v>
      </c>
      <c r="C194" s="1">
        <v>41.0</v>
      </c>
      <c r="D194" s="3" t="s">
        <v>861</v>
      </c>
      <c r="E194" s="2">
        <f t="shared" si="1"/>
        <v>370</v>
      </c>
      <c r="F194" s="1" t="s">
        <v>862</v>
      </c>
      <c r="G194" s="1">
        <f t="shared" si="2"/>
        <v>130900000</v>
      </c>
      <c r="H194" s="1" t="s">
        <v>155</v>
      </c>
      <c r="I194" s="1">
        <f t="shared" si="3"/>
        <v>1100000</v>
      </c>
      <c r="J194" s="4">
        <v>0.0161</v>
      </c>
      <c r="K194" s="1" t="s">
        <v>863</v>
      </c>
      <c r="L194" s="1">
        <f t="shared" si="4"/>
        <v>532700</v>
      </c>
      <c r="M194" s="1" t="s">
        <v>864</v>
      </c>
      <c r="N194" s="1">
        <f t="shared" si="5"/>
        <v>391900000</v>
      </c>
      <c r="O194" s="1" t="s">
        <v>349</v>
      </c>
    </row>
    <row r="195">
      <c r="A195" s="1">
        <v>195.0</v>
      </c>
      <c r="B195" s="1" t="s">
        <v>865</v>
      </c>
      <c r="C195" s="1">
        <v>75.0</v>
      </c>
      <c r="D195" s="3" t="s">
        <v>159</v>
      </c>
      <c r="E195" s="2">
        <f t="shared" si="1"/>
        <v>4800</v>
      </c>
      <c r="F195" s="1" t="s">
        <v>866</v>
      </c>
      <c r="G195" s="1">
        <f t="shared" si="2"/>
        <v>125100000</v>
      </c>
      <c r="H195" s="1" t="s">
        <v>867</v>
      </c>
      <c r="I195" s="1">
        <f t="shared" si="3"/>
        <v>264700</v>
      </c>
      <c r="J195" s="4">
        <v>0.0063</v>
      </c>
      <c r="K195" s="1" t="s">
        <v>868</v>
      </c>
      <c r="L195" s="1">
        <f t="shared" si="4"/>
        <v>209200</v>
      </c>
      <c r="M195" s="1" t="s">
        <v>98</v>
      </c>
      <c r="N195" s="1">
        <f t="shared" si="5"/>
        <v>1300000000</v>
      </c>
      <c r="O195" s="1" t="s">
        <v>257</v>
      </c>
    </row>
    <row r="196">
      <c r="A196" s="1">
        <v>196.0</v>
      </c>
      <c r="B196" s="1" t="s">
        <v>869</v>
      </c>
      <c r="C196" s="1">
        <v>71.0</v>
      </c>
      <c r="D196" s="3" t="s">
        <v>163</v>
      </c>
      <c r="E196" s="2">
        <f t="shared" si="1"/>
        <v>2300</v>
      </c>
      <c r="F196" s="1" t="s">
        <v>870</v>
      </c>
      <c r="G196" s="1">
        <f t="shared" si="2"/>
        <v>123400000</v>
      </c>
      <c r="H196" s="1" t="s">
        <v>871</v>
      </c>
      <c r="I196" s="1">
        <f t="shared" si="3"/>
        <v>623800</v>
      </c>
      <c r="J196" s="4">
        <v>0.014</v>
      </c>
      <c r="K196" s="1" t="s">
        <v>872</v>
      </c>
      <c r="L196" s="1">
        <f t="shared" si="4"/>
        <v>464700</v>
      </c>
      <c r="M196" s="1" t="s">
        <v>712</v>
      </c>
      <c r="N196" s="1">
        <f t="shared" si="5"/>
        <v>1400000000</v>
      </c>
      <c r="O196" s="1" t="s">
        <v>28</v>
      </c>
    </row>
    <row r="197">
      <c r="A197" s="1">
        <v>197.0</v>
      </c>
      <c r="B197" s="1" t="s">
        <v>873</v>
      </c>
      <c r="C197" s="1">
        <v>81.0</v>
      </c>
      <c r="D197" s="3" t="s">
        <v>874</v>
      </c>
      <c r="E197" s="2">
        <f t="shared" si="1"/>
        <v>3800</v>
      </c>
      <c r="F197" s="1" t="s">
        <v>875</v>
      </c>
      <c r="G197" s="1">
        <f t="shared" si="2"/>
        <v>119600000</v>
      </c>
      <c r="H197" s="1" t="s">
        <v>876</v>
      </c>
      <c r="I197" s="1">
        <f t="shared" si="3"/>
        <v>390400</v>
      </c>
      <c r="J197" s="4">
        <v>0.0064</v>
      </c>
      <c r="K197" s="1" t="s">
        <v>877</v>
      </c>
      <c r="L197" s="1">
        <f t="shared" si="4"/>
        <v>208000</v>
      </c>
      <c r="M197" s="1" t="s">
        <v>135</v>
      </c>
      <c r="N197" s="1">
        <f t="shared" si="5"/>
        <v>1500000000</v>
      </c>
      <c r="O197" s="1" t="s">
        <v>349</v>
      </c>
    </row>
    <row r="198">
      <c r="A198" s="1">
        <v>198.0</v>
      </c>
      <c r="B198" s="1" t="s">
        <v>878</v>
      </c>
      <c r="C198" s="1">
        <v>79.0</v>
      </c>
      <c r="D198" s="3" t="s">
        <v>879</v>
      </c>
      <c r="E198" s="2">
        <f t="shared" si="1"/>
        <v>770</v>
      </c>
      <c r="F198" s="1" t="s">
        <v>880</v>
      </c>
      <c r="G198" s="1">
        <f t="shared" si="2"/>
        <v>118500000</v>
      </c>
      <c r="H198" s="1" t="s">
        <v>881</v>
      </c>
      <c r="I198" s="1">
        <f t="shared" si="3"/>
        <v>193300</v>
      </c>
      <c r="J198" s="4">
        <v>0.0026</v>
      </c>
      <c r="K198" s="1" t="s">
        <v>882</v>
      </c>
      <c r="L198" s="1">
        <f t="shared" si="4"/>
        <v>82600</v>
      </c>
      <c r="M198" s="1" t="s">
        <v>883</v>
      </c>
      <c r="N198" s="1">
        <f t="shared" si="5"/>
        <v>149200000</v>
      </c>
      <c r="O198" s="1" t="s">
        <v>130</v>
      </c>
    </row>
    <row r="199">
      <c r="A199" s="1">
        <v>199.0</v>
      </c>
      <c r="B199" s="1" t="s">
        <v>884</v>
      </c>
      <c r="C199" s="1">
        <v>78.0</v>
      </c>
      <c r="D199" s="3" t="s">
        <v>163</v>
      </c>
      <c r="E199" s="2">
        <f t="shared" si="1"/>
        <v>2300</v>
      </c>
      <c r="F199" s="1" t="s">
        <v>885</v>
      </c>
      <c r="G199" s="1">
        <f t="shared" si="2"/>
        <v>111400000</v>
      </c>
      <c r="H199" s="1" t="s">
        <v>886</v>
      </c>
      <c r="I199" s="1">
        <f t="shared" si="3"/>
        <v>719600</v>
      </c>
      <c r="J199" s="4">
        <v>0.0142</v>
      </c>
      <c r="K199" s="1" t="s">
        <v>887</v>
      </c>
      <c r="L199" s="1">
        <f t="shared" si="4"/>
        <v>467700</v>
      </c>
      <c r="M199" s="1" t="s">
        <v>301</v>
      </c>
      <c r="N199" s="1">
        <f t="shared" si="5"/>
        <v>1700000000</v>
      </c>
      <c r="O199" s="1" t="s">
        <v>28</v>
      </c>
    </row>
    <row r="200">
      <c r="A200" s="1">
        <v>200.0</v>
      </c>
      <c r="B200" s="1" t="s">
        <v>888</v>
      </c>
      <c r="C200" s="1">
        <v>80.0</v>
      </c>
      <c r="D200" s="3" t="s">
        <v>537</v>
      </c>
      <c r="E200" s="2">
        <f t="shared" si="1"/>
        <v>4200</v>
      </c>
      <c r="F200" s="1" t="s">
        <v>889</v>
      </c>
      <c r="G200" s="1">
        <f t="shared" si="2"/>
        <v>105200000</v>
      </c>
      <c r="H200" s="1" t="s">
        <v>890</v>
      </c>
      <c r="I200" s="1">
        <f t="shared" si="3"/>
        <v>232200</v>
      </c>
      <c r="J200" s="4">
        <v>0.003</v>
      </c>
      <c r="K200" s="1" t="s">
        <v>891</v>
      </c>
      <c r="L200" s="1">
        <f t="shared" si="4"/>
        <v>97400</v>
      </c>
      <c r="M200" s="1" t="s">
        <v>892</v>
      </c>
      <c r="N200" s="1">
        <f t="shared" si="5"/>
        <v>969100000</v>
      </c>
      <c r="O200" s="1" t="s">
        <v>323</v>
      </c>
    </row>
  </sheetData>
  <drawing r:id="rId1"/>
</worksheet>
</file>